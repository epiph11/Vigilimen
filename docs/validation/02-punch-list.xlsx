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unch list" sheetId="2" state="visible" r:id="rId2"/>
    <sheet xmlns:r="http://schemas.openxmlformats.org/officeDocument/2006/relationships" name="Disposition rul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'Punch list'!$A$4:$N$24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0F171C"/>
      <sz val="14"/>
    </font>
    <font>
      <name val="Calibri"/>
      <color rgb="FF4A5A63"/>
      <sz val="9"/>
    </font>
    <font>
      <name val="Calibri"/>
      <b val="1"/>
      <color rgb="FF0F171C"/>
      <sz val="10"/>
    </font>
    <font>
      <name val="Calibri"/>
      <color rgb="FF0F171C"/>
      <sz val="10"/>
    </font>
    <font>
      <name val="Calibri"/>
      <b val="1"/>
      <color rgb="FF14506E"/>
      <sz val="9"/>
    </font>
  </fonts>
  <fills count="4">
    <fill>
      <patternFill/>
    </fill>
    <fill>
      <patternFill patternType="gray125"/>
    </fill>
    <fill>
      <patternFill patternType="solid">
        <fgColor rgb="FFD2E2EB"/>
      </patternFill>
    </fill>
    <fill>
      <patternFill patternType="solid">
        <fgColor rgb="FFFFF7DC"/>
      </patternFill>
    </fill>
  </fills>
  <borders count="2">
    <border>
      <left/>
      <right/>
      <top/>
      <bottom/>
      <diagonal/>
    </border>
    <border>
      <left style="thin">
        <color rgb="FFC3D0D7"/>
      </left>
      <right style="thin">
        <color rgb="FFC3D0D7"/>
      </right>
      <top style="thin">
        <color rgb="FFC3D0D7"/>
      </top>
      <bottom style="thin">
        <color rgb="FFC3D0D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1" pivotButton="0" quotePrefix="0" xfId="0"/>
    <xf numFmtId="0" fontId="4" fillId="3" borderId="1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Cyber FAT / SAT punch list — KCH-CYB-PUNCH-001</t>
        </is>
      </c>
    </row>
    <row r="2">
      <c r="A2" s="2" t="inlineStr">
        <is>
          <t>Kanangra Creek Hydro Station · against CRS rev 0.2 and FAT plan KCH-CYB-FAT-001 rev 0.1 · DRAFT · 14 Sept 2026</t>
        </is>
      </c>
    </row>
    <row r="3">
      <c r="A3" s="3" t="inlineStr"/>
    </row>
    <row r="4">
      <c r="A4" s="4" t="inlineStr">
        <is>
          <t>THE ONE RULE THAT DECIDES WHETHER THIS LIST IS USEFUL</t>
        </is>
      </c>
    </row>
    <row r="5">
      <c r="A5" s="5" t="inlineStr">
        <is>
          <t>A HOLD POINT CANNOT BECOME A PUNCH ITEM. A hold point is a requirement whose failure stops shipment or stops energisation.</t>
        </is>
      </c>
    </row>
    <row r="6">
      <c r="A6" s="5" t="inlineStr">
        <is>
          <t>If it fails, the system is not accepted — it is not accepted conditionally with a note. The moment hold points start appearing</t>
        </is>
      </c>
    </row>
    <row r="7">
      <c r="A7" s="5" t="inlineStr">
        <is>
          <t>on this list, the list has become the mechanism by which the specification is quietly abandoned, and every subsequent signature</t>
        </is>
      </c>
    </row>
    <row r="8">
      <c r="A8" s="5" t="inlineStr">
        <is>
          <t>is worth less. Everything else may be carried here, with an owner and a date.</t>
        </is>
      </c>
    </row>
    <row r="9">
      <c r="A9" s="3" t="inlineStr"/>
    </row>
    <row r="10">
      <c r="A10" s="4" t="inlineStr">
        <is>
          <t>WHAT GOES ON THIS LIST</t>
        </is>
      </c>
    </row>
    <row r="11">
      <c r="A11" s="5" t="inlineStr">
        <is>
          <t>• DEFECT — a requirement is not met. The integrator fixes it. No commercial discussion is required; it was specified.</t>
        </is>
      </c>
    </row>
    <row r="12">
      <c r="A12" s="5" t="inlineStr">
        <is>
          <t>• DEVIATION — a requirement cannot be met as written. Requires disposition under CRS §15.1 BEFORE it is carried, not after.</t>
        </is>
      </c>
    </row>
    <row r="13">
      <c r="A13" s="5" t="inlineStr">
        <is>
          <t>• OBSERVATION — no requirement is breached, but something was seen that the asset owner should know. Carries no obligation</t>
        </is>
      </c>
    </row>
    <row r="14">
      <c r="A14" s="5" t="inlineStr">
        <is>
          <t xml:space="preserve">  on the integrator. Observations are the most valuable rows on this sheet and the first ones deleted by someone tidying up.</t>
        </is>
      </c>
    </row>
    <row r="15">
      <c r="A15" s="3" t="inlineStr"/>
    </row>
    <row r="16">
      <c r="A16" s="4" t="inlineStr">
        <is>
          <t>WHAT AN ITEM MUST CARRY BEFORE IT IS ACCEPTED ONTO THE LIST</t>
        </is>
      </c>
    </row>
    <row r="17">
      <c r="A17" s="5" t="inlineStr">
        <is>
          <t>An owner who is a NAMED PERSON, a date, and an AGREED INTERIM POSITION. An item with a party but no person has no owner.</t>
        </is>
      </c>
    </row>
    <row r="18">
      <c r="A18" s="5" t="inlineStr">
        <is>
          <t>An item with no interim position is an unmanaged risk carried forward under the appearance of management — the plant runs</t>
        </is>
      </c>
    </row>
    <row r="19">
      <c r="A19" s="5" t="inlineStr">
        <is>
          <t>in the meantime, and something has to stand in the requirement's place until the fix lands.</t>
        </is>
      </c>
    </row>
    <row r="20">
      <c r="A20" s="3" t="inlineStr"/>
    </row>
    <row r="21">
      <c r="A21" s="4" t="inlineStr">
        <is>
          <t>THE PHASE BOUNDARY RULE</t>
        </is>
      </c>
    </row>
    <row r="22">
      <c r="A22" s="5" t="inlineStr">
        <is>
          <t>An item open at a phase boundary — FAT to shipment, SAT to energisation, commissioning to handover — is RE-DISPOSITIONED,</t>
        </is>
      </c>
    </row>
    <row r="23">
      <c r="A23" s="5" t="inlineStr">
        <is>
          <t>not rolled. Someone with authority looks at it again and decides, in the light of where the plant now is, whether it may</t>
        </is>
      </c>
    </row>
    <row r="24">
      <c r="A24" s="5" t="inlineStr">
        <is>
          <t>still be carried. Rolling is how a punch item becomes a permanent feature of the plant: it crosses three boundaries without</t>
        </is>
      </c>
    </row>
    <row r="25">
      <c r="A25" s="5" t="inlineStr">
        <is>
          <t>anyone deciding anything, and by handover it is indistinguishable from the design.</t>
        </is>
      </c>
    </row>
    <row r="26">
      <c r="A26" s="3" t="inlineStr"/>
    </row>
    <row r="27">
      <c r="A27" s="4" t="inlineStr">
        <is>
          <t>HOW TO USE</t>
        </is>
      </c>
    </row>
    <row r="28">
      <c r="A28" s="5" t="inlineStr">
        <is>
          <t>1. Yellow cells are inputs. Everything else is calculated — do not type a status count.</t>
        </is>
      </c>
    </row>
    <row r="29">
      <c r="A29" s="5" t="inlineStr">
        <is>
          <t>2. One row per item. An item covering two requirements is two items, because they will close on different dates.</t>
        </is>
      </c>
    </row>
    <row r="30">
      <c r="A30" s="5" t="inlineStr">
        <is>
          <t>3. "Closure evidence" is what a third party could use to confirm the fix. "Fixed" is not evidence.</t>
        </is>
      </c>
    </row>
    <row r="31">
      <c r="A31" s="5" t="inlineStr">
        <is>
          <t>4. The Summary sheet is the page that goes to the project meeting. Read AGE, not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0" customWidth="1" min="4" max="4"/>
    <col width="8" customWidth="1" min="5" max="5"/>
    <col width="46" customWidth="1" min="6" max="6"/>
    <col width="12" customWidth="1" min="7" max="7"/>
    <col width="40" customWidth="1" min="8" max="8"/>
    <col width="40" customWidth="1" min="9" max="9"/>
    <col width="13" customWidth="1" min="10" max="10"/>
    <col width="15" customWidth="1" min="11" max="11"/>
    <col width="11" customWidth="1" min="12" max="12"/>
    <col width="9" customWidth="1" min="13" max="13"/>
    <col width="11" customWidth="1" min="14" max="14"/>
  </cols>
  <sheetData>
    <row r="1">
      <c r="A1" s="6" t="inlineStr">
        <is>
          <t>Punch list</t>
        </is>
      </c>
    </row>
    <row r="2" ht="28" customHeight="1">
      <c r="A2" s="7" t="inlineStr">
        <is>
          <t>Items arising from cyber FAT and SAT. HOLD POINT FAILURES DO NOT APPEAR HERE — they are defects that stop shipment or energisation and are resolved before the phase closes. Yellow cells are inputs.</t>
        </is>
      </c>
    </row>
    <row r="4" ht="34" customHeight="1">
      <c r="A4" s="8" t="inlineStr">
        <is>
          <t>Item</t>
        </is>
      </c>
      <c r="B4" s="8" t="inlineStr">
        <is>
          <t>Raised
at</t>
        </is>
      </c>
      <c r="C4" s="8" t="inlineStr">
        <is>
          <t>Test
case</t>
        </is>
      </c>
      <c r="D4" s="8" t="inlineStr">
        <is>
          <t>CRS
ref</t>
        </is>
      </c>
      <c r="E4" s="8" t="inlineStr">
        <is>
          <t>Risk</t>
        </is>
      </c>
      <c r="F4" s="8" t="inlineStr">
        <is>
          <t>Finding</t>
        </is>
      </c>
      <c r="G4" s="8" t="inlineStr">
        <is>
          <t>Class</t>
        </is>
      </c>
      <c r="H4" s="8" t="inlineStr">
        <is>
          <t>Agreed interim position</t>
        </is>
      </c>
      <c r="I4" s="8" t="inlineStr">
        <is>
          <t>Corrective action</t>
        </is>
      </c>
      <c r="J4" s="8" t="inlineStr">
        <is>
          <t>Party</t>
        </is>
      </c>
      <c r="K4" s="8" t="inlineStr">
        <is>
          <t>Owner
(named)</t>
        </is>
      </c>
      <c r="L4" s="8" t="inlineStr">
        <is>
          <t>Due</t>
        </is>
      </c>
      <c r="M4" s="8" t="inlineStr">
        <is>
          <t>Verify
at</t>
        </is>
      </c>
      <c r="N4" s="8" t="inlineStr">
        <is>
          <t>Status</t>
        </is>
      </c>
    </row>
    <row r="5" ht="62" customHeight="1">
      <c r="A5" s="9" t="inlineStr">
        <is>
          <t>P-01</t>
        </is>
      </c>
      <c r="B5" s="9" t="inlineStr">
        <is>
          <t>FAT</t>
        </is>
      </c>
      <c r="C5" s="9" t="inlineStr">
        <is>
          <t>FAT-09</t>
        </is>
      </c>
      <c r="D5" s="9" t="inlineStr">
        <is>
          <t>CRS-054</t>
        </is>
      </c>
      <c r="E5" s="9" t="inlineStr">
        <is>
          <t>R-29</t>
        </is>
      </c>
      <c r="F5" s="10" t="inlineStr">
        <is>
          <t>Discovery protocol and vendor diagnostic web service listening on the DMZ protocol gateway as delivered. Both are outside the documented required service set.</t>
        </is>
      </c>
      <c r="G5" s="11" t="inlineStr">
        <is>
          <t>Defect</t>
        </is>
      </c>
      <c r="H5" s="10" t="inlineStr">
        <is>
          <t>Services blocked at the firewall pending removal. Blocking rule tagged for withdrawal so it is not carried into the as-built rule set as a permanent object.</t>
        </is>
      </c>
      <c r="I5" s="10" t="inlineStr">
        <is>
          <t>Disable both services in the shipping configuration; reissue the configuration export and the required-set document.</t>
        </is>
      </c>
      <c r="J5" s="10" t="inlineStr">
        <is>
          <t>Integrator</t>
        </is>
      </c>
      <c r="K5" s="10" t="inlineStr">
        <is>
          <t>J. Marchetti</t>
        </is>
      </c>
      <c r="L5" s="11" t="inlineStr">
        <is>
          <t>Before ship</t>
        </is>
      </c>
      <c r="M5" s="11" t="inlineStr">
        <is>
          <t>FAT re-test</t>
        </is>
      </c>
      <c r="N5" s="11" t="inlineStr">
        <is>
          <t>Open</t>
        </is>
      </c>
    </row>
    <row r="6" ht="62" customHeight="1">
      <c r="A6" s="9" t="inlineStr">
        <is>
          <t>P-02</t>
        </is>
      </c>
      <c r="B6" s="9" t="inlineStr">
        <is>
          <t>FAT</t>
        </is>
      </c>
      <c r="C6" s="9" t="inlineStr">
        <is>
          <t>FAT-11</t>
        </is>
      </c>
      <c r="D6" s="9" t="inlineStr">
        <is>
          <t>CRS-010</t>
        </is>
      </c>
      <c r="E6" s="9" t="inlineStr">
        <is>
          <t>R-07</t>
        </is>
      </c>
      <c r="F6" s="10" t="inlineStr">
        <is>
          <t>Controller mode change alarms within 10 s when made through the engineering tool, but is SILENT when made at the front panel key switch. Requirement is path-independent.</t>
        </is>
      </c>
      <c r="G6" s="11" t="inlineStr">
        <is>
          <t>Defect</t>
        </is>
      </c>
      <c r="H6" s="10" t="inlineStr">
        <is>
          <t>Front-panel key switch physically locked; key held by the operations manager. Alarm on the engineering path continues to function.</t>
        </is>
      </c>
      <c r="I6" s="10" t="inlineStr">
        <is>
          <t>Wire the key switch position to a monitored digital input and map it to the same alarm point.</t>
        </is>
      </c>
      <c r="J6" s="10" t="inlineStr">
        <is>
          <t>Integrator</t>
        </is>
      </c>
      <c r="K6" s="10" t="inlineStr">
        <is>
          <t>J. Marchetti</t>
        </is>
      </c>
      <c r="L6" s="11" t="inlineStr">
        <is>
          <t>Before SAT</t>
        </is>
      </c>
      <c r="M6" s="11" t="inlineStr">
        <is>
          <t>SAT</t>
        </is>
      </c>
      <c r="N6" s="11" t="inlineStr">
        <is>
          <t>Open</t>
        </is>
      </c>
    </row>
    <row r="7" ht="62" customHeight="1">
      <c r="A7" s="9" t="inlineStr">
        <is>
          <t>P-03</t>
        </is>
      </c>
      <c r="B7" s="9" t="inlineStr">
        <is>
          <t>FAT</t>
        </is>
      </c>
      <c r="C7" s="9" t="inlineStr">
        <is>
          <t>FAT-14</t>
        </is>
      </c>
      <c r="D7" s="9" t="inlineStr">
        <is>
          <t>CRS-013</t>
        </is>
      </c>
      <c r="E7" s="9" t="inlineStr">
        <is>
          <t>R-05</t>
        </is>
      </c>
      <c r="F7" s="10" t="inlineStr">
        <is>
          <t>Golden-copy comparison procedure exists and runs, but requires the controller to be taken to PROGRAM mode, which means it cannot be run on a generating unit.</t>
        </is>
      </c>
      <c r="G7" s="11" t="inlineStr">
        <is>
          <t>Deviation</t>
        </is>
      </c>
      <c r="H7" s="10" t="inlineStr">
        <is>
          <t>Comparison performed at each planned outage and after every logic download. Interval accepted as the exposure and recorded in the risk register against R-05.</t>
        </is>
      </c>
      <c r="I7" s="10" t="inlineStr">
        <is>
          <t>Raise with the governor OEM as a product capability gap under CRS-051. Asset owner to decide whether to accept, or make it a condition of the next firmware revision.</t>
        </is>
      </c>
      <c r="J7" s="10" t="inlineStr">
        <is>
          <t>Asset owner</t>
        </is>
      </c>
      <c r="K7" s="10" t="inlineStr">
        <is>
          <t>R. Deng</t>
        </is>
      </c>
      <c r="L7" s="11" t="inlineStr">
        <is>
          <t>SAT + 30 d</t>
        </is>
      </c>
      <c r="M7" s="11" t="inlineStr">
        <is>
          <t>Document review</t>
        </is>
      </c>
      <c r="N7" s="11" t="inlineStr">
        <is>
          <t>Open</t>
        </is>
      </c>
    </row>
    <row r="8" ht="62" customHeight="1">
      <c r="A8" s="9" t="inlineStr">
        <is>
          <t>P-04</t>
        </is>
      </c>
      <c r="B8" s="9" t="inlineStr">
        <is>
          <t>FAT</t>
        </is>
      </c>
      <c r="C8" s="9" t="inlineStr">
        <is>
          <t>FAT-04</t>
        </is>
      </c>
      <c r="D8" s="9" t="inlineStr">
        <is>
          <t>CRS-044</t>
        </is>
      </c>
      <c r="E8" s="9" t="inlineStr">
        <is>
          <t>R-32</t>
        </is>
      </c>
      <c r="F8" s="10" t="inlineStr">
        <is>
          <t>Phishing-resistant MFA enforced. An SMS fallback path exists in the identity provider configuration but is not enabled for vendor accounts.</t>
        </is>
      </c>
      <c r="G8" s="11" t="inlineStr">
        <is>
          <t>Observation</t>
        </is>
      </c>
      <c r="H8" s="10" t="inlineStr">
        <is>
          <t>None required. Vendor accounts do not have the fallback enabled.</t>
        </is>
      </c>
      <c r="I8" s="10" t="inlineStr">
        <is>
          <t>Recommend removing the fallback capability entirely rather than leaving it disabled, so that a future administrator cannot re-enable it without a change record.</t>
        </is>
      </c>
      <c r="J8" s="10" t="inlineStr">
        <is>
          <t>Asset owner</t>
        </is>
      </c>
      <c r="K8" s="10" t="inlineStr">
        <is>
          <t>R. Deng</t>
        </is>
      </c>
      <c r="L8" s="11" t="inlineStr">
        <is>
          <t>Handover</t>
        </is>
      </c>
      <c r="M8" s="11" t="inlineStr">
        <is>
          <t>Document review</t>
        </is>
      </c>
      <c r="N8" s="11" t="inlineStr">
        <is>
          <t>Open</t>
        </is>
      </c>
    </row>
    <row r="9" ht="62" customHeight="1">
      <c r="A9" s="9" t="inlineStr">
        <is>
          <t>P-05</t>
        </is>
      </c>
      <c r="B9" s="9" t="inlineStr">
        <is>
          <t>SAT</t>
        </is>
      </c>
      <c r="C9" s="9" t="inlineStr">
        <is>
          <t>SAT-04</t>
        </is>
      </c>
      <c r="D9" s="9" t="inlineStr">
        <is>
          <t>CRS-035</t>
        </is>
      </c>
      <c r="E9" s="9" t="inlineStr">
        <is>
          <t>R-26</t>
        </is>
      </c>
      <c r="F9" s="10" t="inlineStr">
        <is>
          <t>Eleven live unused ports found on control-zone switches at site, against three shown on the as-built. Port security is configured and refuses unauthorised devices.</t>
        </is>
      </c>
      <c r="G9" s="11" t="inlineStr">
        <is>
          <t>Defect</t>
        </is>
      </c>
      <c r="H9" s="10" t="inlineStr">
        <is>
          <t>Ports administratively disabled at the console the same day. Physical blockers not yet fitted.</t>
        </is>
      </c>
      <c r="I9" s="10" t="inlineStr">
        <is>
          <t>Fit physical port blockers; reissue the as-built port schedule; add a port-count reconciliation to the annual review.</t>
        </is>
      </c>
      <c r="J9" s="10" t="inlineStr">
        <is>
          <t>Integrator</t>
        </is>
      </c>
      <c r="K9" s="10" t="inlineStr">
        <is>
          <t>S. Okonkwo</t>
        </is>
      </c>
      <c r="L9" s="11" t="inlineStr">
        <is>
          <t>Before energise</t>
        </is>
      </c>
      <c r="M9" s="11" t="inlineStr">
        <is>
          <t>Commissioning</t>
        </is>
      </c>
      <c r="N9" s="11" t="inlineStr">
        <is>
          <t>Open</t>
        </is>
      </c>
    </row>
    <row r="10" ht="62" customHeight="1">
      <c r="A10" s="9" t="inlineStr">
        <is>
          <t>P-06</t>
        </is>
      </c>
      <c r="B10" s="9" t="inlineStr">
        <is>
          <t>SAT</t>
        </is>
      </c>
      <c r="C10" s="9" t="inlineStr">
        <is>
          <t>SAT-07</t>
        </is>
      </c>
      <c r="D10" s="9" t="inlineStr">
        <is>
          <t>CRS-024</t>
        </is>
      </c>
      <c r="E10" s="9" t="inlineStr">
        <is>
          <t>R-18</t>
        </is>
      </c>
      <c r="F10" s="10" t="inlineStr">
        <is>
          <t>Full restoration demonstrated successfully. Measured recovery time 31 hours against an assumed 8 hours in the initial risk assessment.</t>
        </is>
      </c>
      <c r="G10" s="11" t="inlineStr">
        <is>
          <t>Observation</t>
        </is>
      </c>
      <c r="H10" s="10" t="inlineStr">
        <is>
          <t>None. The control works; the ASSUMPTION was wrong.</t>
        </is>
      </c>
      <c r="I10" s="10" t="inlineStr">
        <is>
          <t>Update the consequence assumption behind S-09 and re-run the affected rows of the risk register. Reassessment trigger under approval record §8.</t>
        </is>
      </c>
      <c r="J10" s="10" t="inlineStr">
        <is>
          <t>Asset owner</t>
        </is>
      </c>
      <c r="K10" s="10" t="inlineStr">
        <is>
          <t>E. Zaré</t>
        </is>
      </c>
      <c r="L10" s="11" t="inlineStr">
        <is>
          <t>Handover</t>
        </is>
      </c>
      <c r="M10" s="11" t="inlineStr">
        <is>
          <t>Document review</t>
        </is>
      </c>
      <c r="N10" s="11" t="inlineStr">
        <is>
          <t>Open</t>
        </is>
      </c>
    </row>
    <row r="11" ht="62" customHeight="1">
      <c r="A11" s="9" t="inlineStr">
        <is>
          <t>P-07</t>
        </is>
      </c>
      <c r="B11" s="9" t="inlineStr">
        <is>
          <t>SAT</t>
        </is>
      </c>
      <c r="C11" s="9" t="inlineStr">
        <is>
          <t>SAT-02</t>
        </is>
      </c>
      <c r="D11" s="9" t="inlineStr">
        <is>
          <t>CRS-042</t>
        </is>
      </c>
      <c r="E11" s="9" t="inlineStr">
        <is>
          <t>R-30</t>
        </is>
      </c>
      <c r="F11" s="10" t="inlineStr">
        <is>
          <t>Automated firewall-to-conduit-register reconciliation implemented and running weekly. First run reported four undocumented flows, all legitimate and all absent from the conduit register.</t>
        </is>
      </c>
      <c r="G11" s="11" t="inlineStr">
        <is>
          <t>Defect</t>
        </is>
      </c>
      <c r="H11" s="10" t="inlineStr">
        <is>
          <t>Four flows documented in the conduit register as an interim as-built entry, pending formal revision of Annexure A.</t>
        </is>
      </c>
      <c r="I11" s="10" t="inlineStr">
        <is>
          <t>Reissue CRS Annexure A conduit register at rev 0.3 including the four flows. GC-4 breach: a path that exists and is not registered is a defect regardless of exploitability.</t>
        </is>
      </c>
      <c r="J11" s="10" t="inlineStr">
        <is>
          <t>Integrator</t>
        </is>
      </c>
      <c r="K11" s="10" t="inlineStr">
        <is>
          <t>S. Okonkwo</t>
        </is>
      </c>
      <c r="L11" s="11" t="inlineStr">
        <is>
          <t>Handover</t>
        </is>
      </c>
      <c r="M11" s="11" t="inlineStr">
        <is>
          <t>Document review</t>
        </is>
      </c>
      <c r="N11" s="11" t="inlineStr">
        <is>
          <t>Open</t>
        </is>
      </c>
    </row>
    <row r="12" ht="62" customHeight="1">
      <c r="A12" s="9" t="inlineStr">
        <is>
          <t>P-08</t>
        </is>
      </c>
      <c r="B12" s="9" t="inlineStr">
        <is>
          <t>SAT</t>
        </is>
      </c>
      <c r="C12" s="9" t="inlineStr">
        <is>
          <t>SAT-09</t>
        </is>
      </c>
      <c r="D12" s="9" t="inlineStr">
        <is>
          <t>CRS-061</t>
        </is>
      </c>
      <c r="E12" s="9" t="inlineStr">
        <is>
          <t>—</t>
        </is>
      </c>
      <c r="F12" s="10" t="inlineStr">
        <is>
          <t>Governor configuration supplied in the OEM's proprietary project format. No editable export available to the asset owner without an OEM licence seat.</t>
        </is>
      </c>
      <c r="G12" s="11" t="inlineStr">
        <is>
          <t>Deviation</t>
        </is>
      </c>
      <c r="H12" s="10" t="inlineStr">
        <is>
          <t>NONE AGREED. Escalated — this is one of the two requirements marked non-negotiable at CRS §15.2.</t>
        </is>
      </c>
      <c r="I12" s="10" t="inlineStr">
        <is>
          <t>Escalate to contract. Either the OEM supplies an editable export, or the asset owner is licensed for the toolchain for the life of the asset at a price agreed now.</t>
        </is>
      </c>
      <c r="J12" s="10" t="inlineStr">
        <is>
          <t>Asset owner</t>
        </is>
      </c>
      <c r="K12" s="10" t="inlineStr">
        <is>
          <t>R. Deng</t>
        </is>
      </c>
      <c r="L12" s="11" t="inlineStr">
        <is>
          <t>Before handover</t>
        </is>
      </c>
      <c r="M12" s="11" t="inlineStr">
        <is>
          <t>Contract</t>
        </is>
      </c>
      <c r="N12" s="11" t="inlineStr">
        <is>
          <t>Escalated</t>
        </is>
      </c>
    </row>
    <row r="13" ht="40" customHeight="1">
      <c r="A13" s="12" t="n"/>
      <c r="B13" s="12" t="n"/>
      <c r="C13" s="12" t="n"/>
      <c r="D13" s="12" t="n"/>
      <c r="E13" s="12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 ht="40" customHeight="1">
      <c r="A14" s="12" t="n"/>
      <c r="B14" s="12" t="n"/>
      <c r="C14" s="12" t="n"/>
      <c r="D14" s="12" t="n"/>
      <c r="E14" s="12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 ht="40" customHeight="1">
      <c r="A15" s="12" t="n"/>
      <c r="B15" s="12" t="n"/>
      <c r="C15" s="12" t="n"/>
      <c r="D15" s="12" t="n"/>
      <c r="E15" s="12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</row>
    <row r="16" ht="40" customHeight="1">
      <c r="A16" s="12" t="n"/>
      <c r="B16" s="12" t="n"/>
      <c r="C16" s="12" t="n"/>
      <c r="D16" s="12" t="n"/>
      <c r="E16" s="12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 ht="40" customHeight="1">
      <c r="A17" s="12" t="n"/>
      <c r="B17" s="12" t="n"/>
      <c r="C17" s="12" t="n"/>
      <c r="D17" s="12" t="n"/>
      <c r="E17" s="12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</row>
    <row r="18" ht="40" customHeight="1">
      <c r="A18" s="12" t="n"/>
      <c r="B18" s="12" t="n"/>
      <c r="C18" s="12" t="n"/>
      <c r="D18" s="12" t="n"/>
      <c r="E18" s="12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 ht="40" customHeight="1">
      <c r="A19" s="12" t="n"/>
      <c r="B19" s="12" t="n"/>
      <c r="C19" s="12" t="n"/>
      <c r="D19" s="12" t="n"/>
      <c r="E19" s="12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</row>
    <row r="20" ht="40" customHeight="1">
      <c r="A20" s="12" t="n"/>
      <c r="B20" s="12" t="n"/>
      <c r="C20" s="12" t="n"/>
      <c r="D20" s="12" t="n"/>
      <c r="E20" s="12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 ht="40" customHeight="1">
      <c r="A21" s="12" t="n"/>
      <c r="B21" s="12" t="n"/>
      <c r="C21" s="12" t="n"/>
      <c r="D21" s="12" t="n"/>
      <c r="E21" s="12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</row>
    <row r="22" ht="40" customHeight="1">
      <c r="A22" s="12" t="n"/>
      <c r="B22" s="12" t="n"/>
      <c r="C22" s="12" t="n"/>
      <c r="D22" s="12" t="n"/>
      <c r="E22" s="12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 ht="40" customHeight="1">
      <c r="A23" s="12" t="n"/>
      <c r="B23" s="12" t="n"/>
      <c r="C23" s="12" t="n"/>
      <c r="D23" s="12" t="n"/>
      <c r="E23" s="12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 ht="40" customHeight="1">
      <c r="A24" s="12" t="n"/>
      <c r="B24" s="12" t="n"/>
      <c r="C24" s="12" t="n"/>
      <c r="D24" s="12" t="n"/>
      <c r="E24" s="12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</sheetData>
  <autoFilter ref="A4:N24"/>
  <mergeCells count="1">
    <mergeCell ref="A2:N2"/>
  </mergeCells>
  <dataValidations count="3">
    <dataValidation sqref="G5:G52" showDropDown="0" showInputMessage="0" showErrorMessage="0" allowBlank="1" type="list">
      <formula1>"Defect,Deviation,Observation"</formula1>
    </dataValidation>
    <dataValidation sqref="N5:N52" showDropDown="0" showInputMessage="0" showErrorMessage="0" allowBlank="1" type="list">
      <formula1>"Open,In progress,Closed,Escalated,Void"</formula1>
    </dataValidation>
    <dataValidation sqref="B5:B52" showDropDown="0" showInputMessage="0" showErrorMessage="0" allowBlank="1" type="list">
      <formula1>"FAT,SAT,Commissioning"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24" customWidth="1" min="3" max="3"/>
    <col width="22" customWidth="1" min="4" max="4"/>
    <col width="44" customWidth="1" min="5" max="5"/>
  </cols>
  <sheetData>
    <row r="1">
      <c r="A1" s="6" t="inlineStr">
        <is>
          <t>Disposition rules</t>
        </is>
      </c>
    </row>
    <row r="2">
      <c r="A2" s="14" t="inlineStr">
        <is>
          <t>Who may accept what, and for how long. Derived from the CRS and from the ZCR 4 acceptance authorities.</t>
        </is>
      </c>
    </row>
    <row r="4">
      <c r="A4" s="8" t="inlineStr">
        <is>
          <t>Class</t>
        </is>
      </c>
      <c r="B4" s="8" t="inlineStr">
        <is>
          <t>What it means</t>
        </is>
      </c>
      <c r="C4" s="8" t="inlineStr">
        <is>
          <t>Who disposes</t>
        </is>
      </c>
      <c r="D4" s="8" t="inlineStr">
        <is>
          <t>Maximum carry</t>
        </is>
      </c>
      <c r="E4" s="8" t="inlineStr">
        <is>
          <t>What closes it</t>
        </is>
      </c>
    </row>
    <row r="5" ht="72" customHeight="1">
      <c r="A5" s="15" t="inlineStr">
        <is>
          <t>Defect</t>
        </is>
      </c>
      <c r="B5" s="15" t="inlineStr">
        <is>
          <t>A specified requirement is not met. No commercial discussion applies — it was in the specification and it was priced.</t>
        </is>
      </c>
      <c r="C5" s="15" t="inlineStr">
        <is>
          <t>Integrator test lead accepts the item; asset owner witness accepts the interim position</t>
        </is>
      </c>
      <c r="D5" s="15" t="inlineStr">
        <is>
          <t>To the next phase boundary, then re-dispositioned</t>
        </is>
      </c>
      <c r="E5" s="15" t="inlineStr">
        <is>
          <t>Re-test of the original test case, witnessed. Not a statement that it was fixed</t>
        </is>
      </c>
    </row>
    <row r="6" ht="72" customHeight="1">
      <c r="A6" s="15" t="inlineStr">
        <is>
          <t>Deviation</t>
        </is>
      </c>
      <c r="B6" s="15" t="inlineStr">
        <is>
          <t>The requirement cannot be met as written. May be a product capability gap (CRS-051) or a site constraint.</t>
        </is>
      </c>
      <c r="C6" s="15" t="inlineStr">
        <is>
          <t>Asset owner, under CRS §15.1. NEVER the integrator alone</t>
        </is>
      </c>
      <c r="D6" s="15" t="inlineStr">
        <is>
          <t>Life of asset if formally accepted; otherwise to the agreed date</t>
        </is>
      </c>
      <c r="E6" s="15" t="inlineStr">
        <is>
          <t>A signed deviation record naming the compensating control and the accepting authority</t>
        </is>
      </c>
    </row>
    <row r="7" ht="72" customHeight="1">
      <c r="A7" s="15" t="inlineStr">
        <is>
          <t>Observation</t>
        </is>
      </c>
      <c r="B7" s="15" t="inlineStr">
        <is>
          <t>No requirement is breached. Something was seen that the owner should know — often an assumption found wrong.</t>
        </is>
      </c>
      <c r="C7" s="15" t="inlineStr">
        <is>
          <t>Asset owner engineering manager</t>
        </is>
      </c>
      <c r="D7" s="15" t="inlineStr">
        <is>
          <t>No limit; review annually</t>
        </is>
      </c>
      <c r="E7" s="15" t="inlineStr">
        <is>
          <t>A decision, recorded. An observation that is neither actioned nor consciously closed is the one that matters later</t>
        </is>
      </c>
    </row>
    <row r="8" ht="72" customHeight="1">
      <c r="A8" s="15" t="inlineStr">
        <is>
          <t>HOLD POINT failure</t>
        </is>
      </c>
      <c r="B8" s="15" t="inlineStr">
        <is>
          <t>Not a punch item. Stops shipment or stops energisation.</t>
        </is>
      </c>
      <c r="C8" s="15" t="inlineStr">
        <is>
          <t>Nobody. It is resolved, or the phase does not close</t>
        </is>
      </c>
      <c r="D8" s="15" t="inlineStr">
        <is>
          <t>Zero</t>
        </is>
      </c>
      <c r="E8" s="15" t="inlineStr">
        <is>
          <t>Re-test and pass. There is no other route</t>
        </is>
      </c>
    </row>
    <row r="10">
      <c r="A10" s="16" t="inlineStr">
        <is>
          <t>THE FAILURE MODE THIS SHEET EXISTS TO PREVENT</t>
        </is>
      </c>
    </row>
    <row r="11">
      <c r="A11" s="17" t="inlineStr">
        <is>
          <t>A punch item is dispositioned once, at the phase where it arose, and then travels. Nobody re-decides it, because re-deciding</t>
        </is>
      </c>
    </row>
    <row r="12">
      <c r="A12" s="17" t="inlineStr">
        <is>
          <t>requires someone to own the decision and the original owner has moved on. By handover the item has crossed three boundaries</t>
        </is>
      </c>
    </row>
    <row r="13">
      <c r="A13" s="17" t="inlineStr">
        <is>
          <t>without a single deliberate act, and it is now indistinguishable from the design. That is how plants acquire permanent</t>
        </is>
      </c>
    </row>
    <row r="14">
      <c r="A14" s="17" t="inlineStr">
        <is>
          <t>"temporary" firewall rules, standing vendor accounts, and key switches with the key left in.</t>
        </is>
      </c>
    </row>
    <row r="15">
      <c r="A15" t="inlineStr"/>
    </row>
    <row r="16">
      <c r="A16" s="17" t="inlineStr">
        <is>
          <t>The countermeasure is cheap and it is procedural: AT EACH PHASE BOUNDARY, EVERY OPEN ITEM IS READ ALOUD AND RE-DECIDED.</t>
        </is>
      </c>
    </row>
    <row r="17">
      <c r="A17" s="17" t="inlineStr">
        <is>
          <t>It takes twenty minutes and it is the difference between a punch list and a list of things that are now true about the plant.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Punch list summary</t>
        </is>
      </c>
    </row>
    <row r="2">
      <c r="A2" s="14" t="inlineStr">
        <is>
          <t>Live-linked to the Punch list sheet. Nothing here is typed.</t>
        </is>
      </c>
    </row>
    <row r="4">
      <c r="A4" s="16" t="inlineStr">
        <is>
          <t>BY CLASS AND STATUS</t>
        </is>
      </c>
    </row>
    <row r="5">
      <c r="A5" s="18" t="inlineStr">
        <is>
          <t>Class</t>
        </is>
      </c>
      <c r="B5" s="18" t="inlineStr">
        <is>
          <t>Open</t>
        </is>
      </c>
      <c r="C5" s="18" t="inlineStr">
        <is>
          <t>Closed</t>
        </is>
      </c>
      <c r="D5" s="18" t="inlineStr">
        <is>
          <t>Total</t>
        </is>
      </c>
    </row>
    <row r="6">
      <c r="A6" s="17" t="inlineStr">
        <is>
          <t>Defect</t>
        </is>
      </c>
      <c r="B6" s="17">
        <f>COUNTIFS('Punch list'!$G$5:$G$60,"Defect",'Punch list'!$N$5:$N$60,"Open")+COUNTIFS('Punch list'!$G$5:$G$60,"Defect",'Punch list'!$N$5:$N$60,"In progress")</f>
        <v/>
      </c>
      <c r="C6" s="17">
        <f>COUNTIFS('Punch list'!$G$5:$G$60,"Defect",'Punch list'!$N$5:$N$60,"Closed")</f>
        <v/>
      </c>
      <c r="D6" s="17">
        <f>COUNTIF('Punch list'!$G$5:$G$60,"Defect")</f>
        <v/>
      </c>
    </row>
    <row r="7">
      <c r="A7" s="17" t="inlineStr">
        <is>
          <t>Deviation</t>
        </is>
      </c>
      <c r="B7" s="17">
        <f>COUNTIFS('Punch list'!$G$5:$G$60,"Deviation",'Punch list'!$N$5:$N$60,"Open")+COUNTIFS('Punch list'!$G$5:$G$60,"Deviation",'Punch list'!$N$5:$N$60,"In progress")</f>
        <v/>
      </c>
      <c r="C7" s="17">
        <f>COUNTIFS('Punch list'!$G$5:$G$60,"Deviation",'Punch list'!$N$5:$N$60,"Closed")</f>
        <v/>
      </c>
      <c r="D7" s="17">
        <f>COUNTIF('Punch list'!$G$5:$G$60,"Deviation")</f>
        <v/>
      </c>
    </row>
    <row r="8">
      <c r="A8" s="17" t="inlineStr">
        <is>
          <t>Observation</t>
        </is>
      </c>
      <c r="B8" s="17">
        <f>COUNTIFS('Punch list'!$G$5:$G$60,"Observation",'Punch list'!$N$5:$N$60,"Open")+COUNTIFS('Punch list'!$G$5:$G$60,"Observation",'Punch list'!$N$5:$N$60,"In progress")</f>
        <v/>
      </c>
      <c r="C8" s="17">
        <f>COUNTIFS('Punch list'!$G$5:$G$60,"Observation",'Punch list'!$N$5:$N$60,"Closed")</f>
        <v/>
      </c>
      <c r="D8" s="17">
        <f>COUNTIF('Punch list'!$G$5:$G$60,"Observation")</f>
        <v/>
      </c>
    </row>
    <row r="9">
      <c r="A9" s="17" t="inlineStr">
        <is>
          <t>Escalated</t>
        </is>
      </c>
      <c r="B9" s="17">
        <f>COUNTIF('Punch list'!$N$5:$N$60,"Escalated")</f>
        <v/>
      </c>
    </row>
    <row r="10">
      <c r="A10" s="17" t="inlineStr">
        <is>
          <t>Total open</t>
        </is>
      </c>
      <c r="B10" s="17">
        <f>COUNTIF('Punch list'!$N$5:$N$60,"Open")+COUNTIF('Punch list'!$N$5:$N$60,"In progress")+COUNTIF('Punch list'!$N$5:$N$60,"Escalated")</f>
        <v/>
      </c>
    </row>
    <row r="12">
      <c r="A12" s="16" t="inlineStr">
        <is>
          <t>BY PHASE RAISED</t>
        </is>
      </c>
    </row>
    <row r="13">
      <c r="A13" s="17" t="inlineStr">
        <is>
          <t>FAT</t>
        </is>
      </c>
      <c r="B13" s="17">
        <f>COUNTIF('Punch list'!$B$5:$B$60,"FAT")</f>
        <v/>
      </c>
    </row>
    <row r="14">
      <c r="A14" s="17" t="inlineStr">
        <is>
          <t>SAT</t>
        </is>
      </c>
      <c r="B14" s="17">
        <f>COUNTIF('Punch list'!$B$5:$B$60,"SAT")</f>
        <v/>
      </c>
    </row>
    <row r="15">
      <c r="A15" s="17" t="inlineStr">
        <is>
          <t>Commissioning</t>
        </is>
      </c>
      <c r="B15" s="17">
        <f>COUNTIF('Punch list'!$B$5:$B$60,"Commissioning")</f>
        <v/>
      </c>
    </row>
    <row r="17">
      <c r="A17" s="16" t="inlineStr">
        <is>
          <t>READ THIS SHEET FOR AGE, NOT FOR COUNT</t>
        </is>
      </c>
    </row>
    <row r="18">
      <c r="A18" s="17" t="inlineStr">
        <is>
          <t>A count going down looks like progress and frequently is not. Items close in the order they are easy, so a list that starts</t>
        </is>
      </c>
    </row>
    <row r="19">
      <c r="A19" s="17" t="inlineStr">
        <is>
          <t>at twenty and reaches four has usually shed the four-hour fixes and retained the four that need a vendor, a contract or an</t>
        </is>
      </c>
    </row>
    <row r="20">
      <c r="A20" s="17" t="inlineStr">
        <is>
          <t>outage. Those four are the reason the list exists.</t>
        </is>
      </c>
    </row>
    <row r="21">
      <c r="A21" s="14" t="inlineStr"/>
    </row>
    <row r="22">
      <c r="A22" s="17" t="inlineStr">
        <is>
          <t>Ask three questions at every project meeting, and ask them in this order:</t>
        </is>
      </c>
    </row>
    <row r="23">
      <c r="A23" s="17" t="inlineStr">
        <is>
          <t>1. What is the OLDEST open item, and what has it been waiting for?</t>
        </is>
      </c>
    </row>
    <row r="24">
      <c r="A24" s="17" t="inlineStr">
        <is>
          <t>2. Which open items have crossed a phase boundary, and who re-decided them there?</t>
        </is>
      </c>
    </row>
    <row r="25">
      <c r="A25" s="17" t="inlineStr">
        <is>
          <t>3. Is anything on this list a hold point? If so, the phase did not actually close.</t>
        </is>
      </c>
    </row>
    <row r="26">
      <c r="A26" s="14" t="inlineStr"/>
    </row>
    <row r="27">
      <c r="A27" s="17" t="inlineStr">
        <is>
          <t>On this worked example, P-08 is the row to read. It is a deviation against CRS-061 — handover in editable source form —</t>
        </is>
      </c>
    </row>
    <row r="28">
      <c r="A28" s="17" t="inlineStr">
        <is>
          <t>with NO agreed interim position, escalated to contract. It is the cheapest item on the list to concede and the most</t>
        </is>
      </c>
    </row>
    <row r="29">
      <c r="A29" s="17" t="inlineStr">
        <is>
          <t>expensive to have conceded: a system the asset owner cannot maintain without the integrator is a system whose security</t>
        </is>
      </c>
    </row>
    <row r="30">
      <c r="A30" s="17" t="inlineStr">
        <is>
          <t>posture belongs to the integrator, for the life of the asset.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2026-09-14T11:21:49Z</dcterms:created>
  <dcterms:modified xmlns:dcterms="http://purl.org/dc/terms/" xmlns:xsi="http://www.w3.org/2001/XMLSchema-instance" xsi:type="dcterms:W3CDTF">2026-09-14T11:21:49Z</dcterms:modified>
</cp:coreProperties>
</file>