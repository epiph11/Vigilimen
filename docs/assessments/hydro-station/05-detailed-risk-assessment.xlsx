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Summary" sheetId="2" state="visible" r:id="rId2"/>
    <sheet xmlns:r="http://schemas.openxmlformats.org/officeDocument/2006/relationships" name="Risk register" sheetId="3" state="visible" r:id="rId3"/>
    <sheet xmlns:r="http://schemas.openxmlformats.org/officeDocument/2006/relationships" name="Scales" sheetId="4" state="visible" r:id="rId4"/>
    <sheet xmlns:r="http://schemas.openxmlformats.org/officeDocument/2006/relationships" name="ATT&amp;CK mapping" sheetId="5" state="visible" r:id="rId5"/>
    <sheet xmlns:r="http://schemas.openxmlformats.org/officeDocument/2006/relationships" name="SL gap" sheetId="6" state="visible" r:id="rId6"/>
    <sheet xmlns:r="http://schemas.openxmlformats.org/officeDocument/2006/relationships" name="Attack path" sheetId="7" state="visible" r:id="rId7"/>
    <sheet xmlns:r="http://schemas.openxmlformats.org/officeDocument/2006/relationships" name="Treatment plan" sheetId="8" state="visible" r:id="rId8"/>
  </sheets>
  <definedNames>
    <definedName name="_xlnm._FilterDatabase" localSheetId="2" hidden="1">'Risk register'!$A$4:$S$44</definedName>
    <definedName name="_xlnm._FilterDatabase" localSheetId="4" hidden="1">'ATT&amp;CK mapping'!$A$4:$F$47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0.0%"/>
  </numFmts>
  <fonts count="20">
    <font>
      <name val="Calibri"/>
      <charset val="1"/>
      <family val="2"/>
      <color theme="1"/>
      <sz val="11"/>
    </font>
    <font>
      <name val="Arial"/>
      <family val="0"/>
      <sz val="10"/>
    </font>
    <font>
      <name val="Arial"/>
      <family val="0"/>
      <sz val="10"/>
    </font>
    <font>
      <name val="Arial"/>
      <family val="0"/>
      <sz val="10"/>
    </font>
    <font>
      <name val="Arial"/>
      <charset val="1"/>
      <family val="0"/>
      <b val="1"/>
      <color rgb="FF1F3B4D"/>
      <sz val="14"/>
    </font>
    <font>
      <name val="Arial"/>
      <charset val="1"/>
      <family val="0"/>
      <i val="1"/>
      <color rgb="FF546E7A"/>
      <sz val="9"/>
    </font>
    <font>
      <name val="Arial"/>
      <charset val="1"/>
      <family val="0"/>
      <b val="1"/>
      <color rgb="FF1F3B4D"/>
      <sz val="10"/>
    </font>
    <font>
      <name val="Arial"/>
      <charset val="1"/>
      <family val="0"/>
      <sz val="10"/>
    </font>
    <font>
      <name val="Arial"/>
      <charset val="1"/>
      <family val="0"/>
      <b val="1"/>
      <color rgb="FF1F3B4D"/>
      <sz val="11"/>
    </font>
    <font>
      <name val="Arial"/>
      <charset val="1"/>
      <family val="0"/>
      <b val="1"/>
      <color rgb="FFFFFFFF"/>
      <sz val="9"/>
    </font>
    <font>
      <name val="Arial"/>
      <charset val="1"/>
      <family val="0"/>
      <sz val="9"/>
    </font>
    <font>
      <name val="Arial"/>
      <charset val="1"/>
      <family val="0"/>
      <b val="1"/>
      <sz val="9"/>
    </font>
    <font>
      <name val="Arial"/>
      <charset val="1"/>
      <family val="0"/>
      <b val="1"/>
      <color rgb="FFC0392B"/>
      <sz val="11"/>
    </font>
    <font>
      <name val="Arial"/>
      <charset val="1"/>
      <family val="0"/>
      <b val="1"/>
      <color rgb="FFC0392B"/>
      <sz val="9"/>
    </font>
    <font>
      <name val="Arial"/>
      <charset val="1"/>
      <family val="0"/>
      <color rgb="FF000000"/>
      <sz val="9"/>
    </font>
    <font>
      <name val="Arial"/>
      <charset val="1"/>
      <family val="0"/>
      <b val="1"/>
      <color rgb="FF1F3B4D"/>
      <sz val="9"/>
    </font>
    <font>
      <name val="Arial"/>
      <charset val="1"/>
      <family val="0"/>
      <i val="1"/>
      <sz val="9"/>
    </font>
    <font>
      <name val="Arial"/>
      <charset val="1"/>
      <family val="0"/>
      <b val="1"/>
      <color rgb="FFFFFFFF"/>
      <sz val="10"/>
    </font>
    <font>
      <name val="Arial"/>
      <charset val="1"/>
      <family val="0"/>
      <b val="1"/>
      <color rgb="FFC0392B"/>
      <sz val="10"/>
    </font>
    <font>
      <name val="Arial"/>
      <charset val="1"/>
      <family val="0"/>
      <i val="1"/>
      <color rgb="FF000000"/>
      <sz val="9"/>
    </font>
  </fonts>
  <fills count="8">
    <fill>
      <patternFill/>
    </fill>
    <fill>
      <patternFill patternType="gray125"/>
    </fill>
    <fill>
      <patternFill patternType="solid">
        <fgColor rgb="FF1F3B4D"/>
        <bgColor rgb="FF003366"/>
      </patternFill>
    </fill>
    <fill>
      <patternFill patternType="solid">
        <fgColor rgb="FFC0392B"/>
        <bgColor rgb="FF993366"/>
      </patternFill>
    </fill>
    <fill>
      <patternFill patternType="solid">
        <fgColor rgb="FFE67E22"/>
        <bgColor rgb="FFFF9900"/>
      </patternFill>
    </fill>
    <fill>
      <patternFill patternType="solid">
        <fgColor rgb="FFF1C40F"/>
        <bgColor rgb="FFFF9900"/>
      </patternFill>
    </fill>
    <fill>
      <patternFill patternType="solid">
        <fgColor rgb="FF27AE60"/>
        <bgColor rgb="FF008080"/>
      </patternFill>
    </fill>
    <fill>
      <patternFill patternType="solid">
        <fgColor rgb="FFFFFF99"/>
        <bgColor rgb="FFFFFFCC"/>
      </patternFill>
    </fill>
  </fills>
  <borders count="6">
    <border>
      <left/>
      <right/>
      <top/>
      <bottom/>
      <diagonal/>
    </border>
    <border>
      <left style="thin">
        <color rgb="FFB0BEC5"/>
      </left>
      <right style="thin">
        <color rgb="FFB0BEC5"/>
      </right>
      <top style="thin">
        <color rgb="FFB0BEC5"/>
      </top>
      <bottom style="thin">
        <color rgb="FFB0BEC5"/>
      </bottom>
      <diagonal/>
    </border>
    <border>
      <left/>
      <right/>
      <top style="thin">
        <color rgb="FFB0BEC5"/>
      </top>
      <bottom/>
      <diagonal/>
    </border>
    <border>
      <left/>
      <right style="thin">
        <color rgb="FFB0BEC5"/>
      </right>
      <top style="thin">
        <color rgb="FFB0BEC5"/>
      </top>
      <bottom/>
      <diagonal/>
    </border>
    <border>
      <left/>
      <right/>
      <top style="thin">
        <color rgb="FFB0BEC5"/>
      </top>
      <bottom style="thin">
        <color rgb="FFB0BEC5"/>
      </bottom>
      <diagonal/>
    </border>
    <border>
      <left/>
      <right style="thin">
        <color rgb="FFB0BEC5"/>
      </right>
      <top style="thin">
        <color rgb="FFB0BEC5"/>
      </top>
      <bottom style="thin">
        <color rgb="FFB0BEC5"/>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0">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9" fillId="3" borderId="1" applyAlignment="1" pivotButton="0" quotePrefix="0" xfId="0">
      <alignment horizontal="left" vertical="top" wrapText="1"/>
    </xf>
    <xf numFmtId="0" fontId="10" fillId="0" borderId="1" applyAlignment="1" pivotButton="0" quotePrefix="0" xfId="0">
      <alignment horizontal="center" vertical="top" wrapText="1"/>
    </xf>
    <xf numFmtId="164" fontId="10" fillId="0" borderId="1" applyAlignment="1" pivotButton="0" quotePrefix="0" xfId="0">
      <alignment horizontal="center" vertical="top" wrapText="1"/>
    </xf>
    <xf numFmtId="0" fontId="10" fillId="0" borderId="1" applyAlignment="1" pivotButton="0" quotePrefix="0" xfId="0">
      <alignment horizontal="left" vertical="top" wrapText="1"/>
    </xf>
    <xf numFmtId="0" fontId="9" fillId="4" borderId="1" applyAlignment="1" pivotButton="0" quotePrefix="0" xfId="0">
      <alignment horizontal="left" vertical="top" wrapText="1"/>
    </xf>
    <xf numFmtId="0" fontId="9" fillId="5" borderId="1" applyAlignment="1" pivotButton="0" quotePrefix="0" xfId="0">
      <alignment horizontal="left" vertical="top" wrapText="1"/>
    </xf>
    <xf numFmtId="0" fontId="9" fillId="6" borderId="1" applyAlignment="1" pivotButton="0" quotePrefix="0" xfId="0">
      <alignment horizontal="left" vertical="top" wrapText="1"/>
    </xf>
    <xf numFmtId="0" fontId="11" fillId="0" borderId="1" applyAlignment="1" pivotButton="0" quotePrefix="0" xfId="0">
      <alignment horizontal="left" vertical="top" wrapText="1"/>
    </xf>
    <xf numFmtId="0" fontId="11" fillId="0" borderId="1" applyAlignment="1" pivotButton="0" quotePrefix="0" xfId="0">
      <alignment horizontal="center" vertical="top" wrapText="1"/>
    </xf>
    <xf numFmtId="164" fontId="11" fillId="0" borderId="1" applyAlignment="1" pivotButton="0" quotePrefix="0" xfId="0">
      <alignment horizontal="center" vertical="top" wrapText="1"/>
    </xf>
    <xf numFmtId="0" fontId="10" fillId="0" borderId="0" applyAlignment="1" pivotButton="0" quotePrefix="0" xfId="0">
      <alignment horizontal="general" vertical="top" wrapText="1"/>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10" fillId="7" borderId="1" applyAlignment="1" pivotButton="0" quotePrefix="0" xfId="0">
      <alignment horizontal="center" vertical="top" wrapText="1"/>
    </xf>
    <xf numFmtId="0" fontId="10" fillId="0" borderId="1" applyAlignment="1" pivotButton="0" quotePrefix="0" xfId="0">
      <alignment horizontal="center" vertical="top" wrapText="1"/>
    </xf>
    <xf numFmtId="0" fontId="10" fillId="7" borderId="1" applyAlignment="1" pivotButton="0" quotePrefix="0" xfId="0">
      <alignment horizontal="left" vertical="top" wrapText="1"/>
    </xf>
    <xf numFmtId="0" fontId="15" fillId="0" borderId="0" applyAlignment="1" pivotButton="0" quotePrefix="0" xfId="0">
      <alignment horizontal="general" vertical="bottom"/>
    </xf>
    <xf numFmtId="0" fontId="16" fillId="0" borderId="0" applyAlignment="1" pivotButton="0" quotePrefix="0" xfId="0">
      <alignment horizontal="general" vertical="top" wrapText="1"/>
    </xf>
    <xf numFmtId="0" fontId="9" fillId="2" borderId="1" applyAlignment="1" pivotButton="0" quotePrefix="0" xfId="0">
      <alignment horizontal="center" vertical="bottom"/>
    </xf>
    <xf numFmtId="0" fontId="17" fillId="5" borderId="1" applyAlignment="1" pivotButton="0" quotePrefix="0" xfId="0">
      <alignment horizontal="center" vertical="bottom"/>
    </xf>
    <xf numFmtId="0" fontId="17" fillId="4" borderId="1" applyAlignment="1" pivotButton="0" quotePrefix="0" xfId="0">
      <alignment horizontal="center" vertical="bottom"/>
    </xf>
    <xf numFmtId="0" fontId="17" fillId="3" borderId="1" applyAlignment="1" pivotButton="0" quotePrefix="0" xfId="0">
      <alignment horizontal="center" vertical="bottom"/>
    </xf>
    <xf numFmtId="0" fontId="17" fillId="6" borderId="1" applyAlignment="1" pivotButton="0" quotePrefix="0" xfId="0">
      <alignment horizontal="center" vertical="bottom"/>
    </xf>
    <xf numFmtId="0" fontId="10" fillId="0" borderId="1" applyAlignment="1" pivotButton="0" quotePrefix="0" xfId="0">
      <alignment horizontal="general" vertical="top" wrapText="1"/>
    </xf>
    <xf numFmtId="0" fontId="18" fillId="0" borderId="0" applyAlignment="1" pivotButton="0" quotePrefix="0" xfId="0">
      <alignment horizontal="general" vertical="bottom"/>
    </xf>
    <xf numFmtId="0" fontId="13" fillId="0" borderId="0" applyAlignment="1" pivotButton="0" quotePrefix="0" xfId="0">
      <alignment horizontal="general" vertical="bottom"/>
    </xf>
    <xf numFmtId="0" fontId="19"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0" fontId="7" fillId="0" borderId="0" applyAlignment="1" pivotButton="0" quotePrefix="0" xfId="0">
      <alignment horizontal="general" vertical="top" wrapText="1"/>
    </xf>
    <xf numFmtId="0" fontId="8" fillId="0" borderId="0" applyAlignment="1" pivotButton="0" quotePrefix="0" xfId="0">
      <alignment horizontal="general" vertical="bottom"/>
    </xf>
    <xf numFmtId="0" fontId="9" fillId="2" borderId="1" applyAlignment="1" pivotButton="0" quotePrefix="0" xfId="0">
      <alignment horizontal="center" vertical="center" wrapText="1"/>
    </xf>
    <xf numFmtId="0" fontId="9" fillId="3" borderId="1" applyAlignment="1" pivotButton="0" quotePrefix="0" xfId="0">
      <alignment horizontal="left" vertical="top" wrapText="1"/>
    </xf>
    <xf numFmtId="0" fontId="10" fillId="0" borderId="1" applyAlignment="1" pivotButton="0" quotePrefix="0" xfId="0">
      <alignment horizontal="center" vertical="top" wrapText="1"/>
    </xf>
    <xf numFmtId="164" fontId="10" fillId="0" borderId="1" applyAlignment="1" pivotButton="0" quotePrefix="0" xfId="0">
      <alignment horizontal="center" vertical="top" wrapText="1"/>
    </xf>
    <xf numFmtId="0" fontId="10" fillId="0" borderId="1" applyAlignment="1" pivotButton="0" quotePrefix="0" xfId="0">
      <alignment horizontal="left" vertical="top" wrapText="1"/>
    </xf>
    <xf numFmtId="0" fontId="0" fillId="0" borderId="4" pivotButton="0" quotePrefix="0" xfId="0"/>
    <xf numFmtId="0" fontId="0" fillId="0" borderId="5" pivotButton="0" quotePrefix="0" xfId="0"/>
    <xf numFmtId="0" fontId="9" fillId="4" borderId="1" applyAlignment="1" pivotButton="0" quotePrefix="0" xfId="0">
      <alignment horizontal="left" vertical="top" wrapText="1"/>
    </xf>
    <xf numFmtId="0" fontId="9" fillId="5" borderId="1" applyAlignment="1" pivotButton="0" quotePrefix="0" xfId="0">
      <alignment horizontal="left" vertical="top" wrapText="1"/>
    </xf>
    <xf numFmtId="0" fontId="9" fillId="6" borderId="1" applyAlignment="1" pivotButton="0" quotePrefix="0" xfId="0">
      <alignment horizontal="left" vertical="top" wrapText="1"/>
    </xf>
    <xf numFmtId="0" fontId="11" fillId="0" borderId="1" applyAlignment="1" pivotButton="0" quotePrefix="0" xfId="0">
      <alignment horizontal="left" vertical="top" wrapText="1"/>
    </xf>
    <xf numFmtId="0" fontId="11" fillId="0" borderId="1" applyAlignment="1" pivotButton="0" quotePrefix="0" xfId="0">
      <alignment horizontal="center" vertical="top" wrapText="1"/>
    </xf>
    <xf numFmtId="164" fontId="11" fillId="0" borderId="1" applyAlignment="1" pivotButton="0" quotePrefix="0" xfId="0">
      <alignment horizontal="center" vertical="top" wrapText="1"/>
    </xf>
    <xf numFmtId="0" fontId="10" fillId="0" borderId="0" applyAlignment="1" pivotButton="0" quotePrefix="0" xfId="0">
      <alignment horizontal="general" vertical="top" wrapText="1"/>
    </xf>
    <xf numFmtId="0" fontId="12" fillId="0" borderId="0" applyAlignment="1" pivotButton="0" quotePrefix="0" xfId="0">
      <alignment horizontal="general" vertical="bottom"/>
    </xf>
    <xf numFmtId="0" fontId="13" fillId="0" borderId="0" applyAlignment="1" pivotButton="0" quotePrefix="0" xfId="0">
      <alignment horizontal="general" vertical="top" wrapText="1"/>
    </xf>
    <xf numFmtId="0" fontId="14" fillId="0" borderId="0" applyAlignment="1" pivotButton="0" quotePrefix="0" xfId="0">
      <alignment horizontal="general" vertical="top" wrapText="1"/>
    </xf>
    <xf numFmtId="0" fontId="9" fillId="2" borderId="1" applyAlignment="1" pivotButton="0" quotePrefix="0" xfId="0">
      <alignment horizontal="center" vertical="center" wrapText="1"/>
    </xf>
    <xf numFmtId="0" fontId="10" fillId="7" borderId="1" applyAlignment="1" pivotButton="0" quotePrefix="0" xfId="0">
      <alignment horizontal="center" vertical="top" wrapText="1"/>
    </xf>
    <xf numFmtId="0" fontId="10" fillId="7" borderId="1" applyAlignment="1" pivotButton="0" quotePrefix="0" xfId="0">
      <alignment horizontal="left" vertical="top" wrapText="1"/>
    </xf>
    <xf numFmtId="0" fontId="10" fillId="0" borderId="1" applyAlignment="1" pivotButton="0" quotePrefix="0" xfId="0">
      <alignment horizontal="left" vertical="top" wrapText="1"/>
    </xf>
    <xf numFmtId="0" fontId="10" fillId="0" borderId="1" applyAlignment="1" pivotButton="0" quotePrefix="0" xfId="0">
      <alignment horizontal="center" vertical="top"/>
    </xf>
    <xf numFmtId="0" fontId="15" fillId="0" borderId="0" applyAlignment="1" pivotButton="0" quotePrefix="0" xfId="0">
      <alignment horizontal="general" vertical="bottom"/>
    </xf>
    <xf numFmtId="0" fontId="16" fillId="0" borderId="0" applyAlignment="1" pivotButton="0" quotePrefix="0" xfId="0">
      <alignment horizontal="general" vertical="top" wrapText="1"/>
    </xf>
    <xf numFmtId="0" fontId="9" fillId="2" borderId="1" applyAlignment="1" pivotButton="0" quotePrefix="0" xfId="0">
      <alignment horizontal="center" vertical="bottom"/>
    </xf>
    <xf numFmtId="0" fontId="17" fillId="5" borderId="1" applyAlignment="1" pivotButton="0" quotePrefix="0" xfId="0">
      <alignment horizontal="center" vertical="bottom"/>
    </xf>
    <xf numFmtId="0" fontId="17" fillId="4" borderId="1" applyAlignment="1" pivotButton="0" quotePrefix="0" xfId="0">
      <alignment horizontal="center" vertical="bottom"/>
    </xf>
    <xf numFmtId="0" fontId="17" fillId="3" borderId="1" applyAlignment="1" pivotButton="0" quotePrefix="0" xfId="0">
      <alignment horizontal="center" vertical="bottom"/>
    </xf>
    <xf numFmtId="0" fontId="17" fillId="6" borderId="1" applyAlignment="1" pivotButton="0" quotePrefix="0" xfId="0">
      <alignment horizontal="center" vertical="bottom"/>
    </xf>
    <xf numFmtId="0" fontId="10" fillId="0" borderId="1" applyAlignment="1" pivotButton="0" quotePrefix="0" xfId="0">
      <alignment horizontal="general" vertical="top" wrapText="1"/>
    </xf>
    <xf numFmtId="0" fontId="18" fillId="0" borderId="0" applyAlignment="1" pivotButton="0" quotePrefix="0" xfId="0">
      <alignment horizontal="general" vertical="bottom"/>
    </xf>
    <xf numFmtId="0" fontId="13" fillId="0" borderId="0" applyAlignment="1" pivotButton="0" quotePrefix="0" xfId="0">
      <alignment horizontal="general" vertical="bottom"/>
    </xf>
    <xf numFmtId="0" fontId="19" fillId="0" borderId="0" applyAlignment="1" pivotButton="0" quotePrefix="0" xfId="0">
      <alignment horizontal="general" vertical="top" wrapText="1"/>
    </xf>
    <xf numFmtId="0" fontId="4" fillId="0" borderId="0" pivotButton="0" quotePrefix="0" xfId="0"/>
    <xf numFmtId="0" fontId="5" fillId="0" borderId="0" applyAlignment="1" pivotButton="0" quotePrefix="0" xfId="0">
      <alignment vertical="top" wrapText="1"/>
    </xf>
    <xf numFmtId="0" fontId="9" fillId="2" borderId="1" applyAlignment="1" pivotButton="0" quotePrefix="0" xfId="0">
      <alignment horizontal="center" vertical="top" wrapText="1"/>
    </xf>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1">
    <dxf>
      <fill>
        <patternFill patternType="solid">
          <fgColor rgb="FF1F3B4D"/>
          <bgColor rgb="FF000000"/>
        </patternFill>
      </fill>
    </dxf>
    <dxf>
      <fill>
        <patternFill patternType="solid">
          <bgColor rgb="FF000000"/>
        </patternFill>
      </fill>
    </dxf>
    <dxf>
      <fill>
        <patternFill patternType="solid">
          <fgColor rgb="FFFFFFFF"/>
          <bgColor rgb="FF000000"/>
        </patternFill>
      </fill>
    </dxf>
    <dxf>
      <fill>
        <patternFill patternType="solid">
          <fgColor rgb="FFFFFF99"/>
          <bgColor rgb="FF000000"/>
        </patternFill>
      </fill>
    </dxf>
    <dxf>
      <fill>
        <patternFill patternType="solid">
          <fgColor rgb="FFC0392B"/>
          <bgColor rgb="FF000000"/>
        </patternFill>
      </fill>
    </dxf>
    <dxf>
      <fill>
        <patternFill patternType="solid">
          <fgColor rgb="FFE67E22"/>
          <bgColor rgb="FF000000"/>
        </patternFill>
      </fill>
    </dxf>
    <dxf>
      <fill>
        <patternFill patternType="solid">
          <fgColor rgb="FFF1C40F"/>
          <bgColor rgb="FF000000"/>
        </patternFill>
      </fill>
    </dxf>
    <dxf>
      <font>
        <name val="Arial"/>
        <charset val="1"/>
        <family val="0"/>
        <b val="1"/>
        <color rgb="FFFFFFFF"/>
        <sz val="9"/>
      </font>
      <fill>
        <patternFill>
          <bgColor rgb="FFC0392B"/>
        </patternFill>
      </fill>
    </dxf>
    <dxf>
      <font>
        <name val="Arial"/>
        <charset val="1"/>
        <family val="0"/>
        <b val="1"/>
        <color rgb="FFFFFFFF"/>
        <sz val="9"/>
      </font>
      <fill>
        <patternFill>
          <bgColor rgb="FFE67E22"/>
        </patternFill>
      </fill>
    </dxf>
    <dxf>
      <font>
        <name val="Arial"/>
        <charset val="1"/>
        <family val="0"/>
        <b val="1"/>
        <sz val="9"/>
      </font>
      <fill>
        <patternFill>
          <bgColor rgb="FFF1C40F"/>
        </patternFill>
      </fill>
    </dxf>
    <dxf>
      <font>
        <name val="Arial"/>
        <charset val="1"/>
        <family val="0"/>
        <b val="1"/>
        <color rgb="FFFFFFFF"/>
        <sz val="9"/>
      </font>
      <fill>
        <patternFill>
          <bgColor rgb="FF27AE6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0BEC5"/>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1C40F"/>
      <rgbColor rgb="FFFF9900"/>
      <rgbColor rgb="FFE67E22"/>
      <rgbColor rgb="FF546E7A"/>
      <rgbColor rgb="FF969696"/>
      <rgbColor rgb="FF003366"/>
      <rgbColor rgb="FF27AE60"/>
      <rgbColor rgb="FF003300"/>
      <rgbColor rgb="FF333300"/>
      <rgbColor rgb="FFC0392B"/>
      <rgbColor rgb="FF993366"/>
      <rgbColor rgb="FF333399"/>
      <rgbColor rgb="FF1F3B4D"/>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H30"/>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36" min="1" max="1"/>
    <col width="15" customWidth="1" style="36" min="2" max="8"/>
  </cols>
  <sheetData>
    <row r="1" ht="17.25" customHeight="1" s="37">
      <c r="A1" s="38" t="inlineStr">
        <is>
          <t>ZCR 5 — Detailed cyber security risk assessment</t>
        </is>
      </c>
    </row>
    <row r="2" ht="15" customHeight="1" s="37">
      <c r="A2" s="39" t="inlineStr">
        <is>
          <t>Kanangra Creek Hydro Station · IEC 62443-3-2 · Document 05 of 12 · DRAFT · 14 Sept 2026</t>
        </is>
      </c>
    </row>
    <row r="5" ht="15" customHeight="1" s="37">
      <c r="A5" s="40" t="inlineStr">
        <is>
          <t>PURPOSE</t>
        </is>
      </c>
    </row>
    <row r="6" ht="39" customHeight="1" s="37">
      <c r="B6" s="41" t="inlineStr">
        <is>
          <t>ZCR 5 assesses each zone and conduit in detail: threat, vulnerability, consequence, likelihood, unmitigated risk, existing countermeasures and residual risk. It is the step that turns the consequence-driven partition of ZCR 3 into a prioritised remediation backlog.</t>
        </is>
      </c>
    </row>
    <row r="8" ht="15" customHeight="1" s="37">
      <c r="A8" s="40" t="inlineStr">
        <is>
          <t>PREREQUISITE</t>
        </is>
      </c>
    </row>
    <row r="9" ht="39" customHeight="1" s="37">
      <c r="B9" s="41" t="inlineStr">
        <is>
          <t>ZCR 4 (tolerable risk criteria) must be APPROVED before this sheet is populated. Criteria agreed after the assessment drift toward wherever the findings landed, which makes the assessment unfalsifiable. If document 04 is unsigned, stop here.</t>
        </is>
      </c>
    </row>
    <row r="11" ht="15" customHeight="1" s="37">
      <c r="A11" s="40" t="inlineStr">
        <is>
          <t>HOW TO USE</t>
        </is>
      </c>
    </row>
    <row r="12" ht="13.5" customHeight="1" s="37">
      <c r="B12" s="41" t="inlineStr">
        <is>
          <t>1. 'Risk register' is the working sheet. Yellow cells are inputs; everything else is calculated.</t>
        </is>
      </c>
    </row>
    <row r="13" ht="13.5" customHeight="1" s="37">
      <c r="B13" s="41" t="inlineStr">
        <is>
          <t>2. Consequence ratings are inherited from ZCR 2 scenarios S-01..S-10 — do not re-derive them here.</t>
        </is>
      </c>
    </row>
    <row r="14" ht="13.5" customHeight="1" s="37">
      <c r="B14" s="41" t="inlineStr">
        <is>
          <t>3. Likelihood is assessed twice: unmitigated (no countermeasures) and residual (with existing controls).</t>
        </is>
      </c>
    </row>
    <row r="15" ht="13.5" customHeight="1" s="37">
      <c r="B15" s="41" t="inlineStr">
        <is>
          <t>4. Risk bands are looked up from the ZCR 4 matrix on the 'Scales' sheet. Do not type a band by hand.</t>
        </is>
      </c>
    </row>
    <row r="16" ht="13.5" customHeight="1" s="37">
      <c r="B16" s="41" t="inlineStr">
        <is>
          <t>5. 'SL gap' tracks SL-T against SL-A. The delta is the remediation backlog — that is the operating loop.</t>
        </is>
      </c>
    </row>
    <row r="17" ht="13.5" customHeight="1" s="37">
      <c r="B17" s="41" t="inlineStr">
        <is>
          <t>6. 'Treatment plan' filters everything not tolerable under the ZCR 4 acceptance criteria.</t>
        </is>
      </c>
    </row>
    <row r="19" ht="15" customHeight="1" s="37">
      <c r="A19" s="40" t="inlineStr">
        <is>
          <t>TWO RULES CARRIED FROM ZCR 4</t>
        </is>
      </c>
    </row>
    <row r="20" ht="25.5" customHeight="1" s="37">
      <c r="B20" s="41" t="inlineStr">
        <is>
          <t>• Safety consequence 5 is NEVER accepted on likelihood grounds alone. A low-likelihood fatality is still a fatality, and 'unlikely' is not a control.</t>
        </is>
      </c>
    </row>
    <row r="21" ht="25.5" customHeight="1" s="37">
      <c r="B21" s="41" t="inlineStr">
        <is>
          <t>• No treatment may be applied inside a protective function. A control that can fail closed on a protection or safety function has made the plant less safe, not more.</t>
        </is>
      </c>
    </row>
    <row r="23" ht="15" customHeight="1" s="37">
      <c r="A23" s="40" t="inlineStr">
        <is>
          <t>THREAT SOURCE</t>
        </is>
      </c>
    </row>
    <row r="24" ht="51.75" customHeight="1" s="37">
      <c r="B24" s="41" t="inlineStr">
        <is>
          <t>MITRE ATT&amp;CK for ICS, content version v19.2 (verified 14 Sept 2026 against attack.mitre.org). Technique IDs are version-sensitive: T0855, T0856, T0803, T0804, T0857, T0839 and T0891 appear in older material and have been superseded by T1691-T1695. The 'ATT&amp;CK mapping' sheet records the version so a future reader knows which release the mapping was built against.</t>
        </is>
      </c>
    </row>
    <row r="26" ht="15" customHeight="1" s="37">
      <c r="A26" s="40" t="inlineStr">
        <is>
          <t>STATUS OF THIS WORKBOOK</t>
        </is>
      </c>
    </row>
    <row r="27" ht="39" customHeight="1" s="37">
      <c r="B27" s="41" t="inlineStr">
        <is>
          <t>DRAFT. Likelihood values are the assessor's judgement and are the single most contestable content here. They are threat-informed, not actuarial — there is no dataset of hydro station compromises from which to derive frequencies, and pretending otherwise produces false precision.</t>
        </is>
      </c>
    </row>
    <row r="29" ht="15" customHeight="1" s="37">
      <c r="A29" s="40" t="inlineStr">
        <is>
          <t>FICTIONAL FACILITY</t>
        </is>
      </c>
    </row>
    <row r="30" ht="25.5" customHeight="1" s="37">
      <c r="B30" s="41" t="inlineStr">
        <is>
          <t>Kanangra Creek is a worked example modelled on a real small run-of-river architecture. It describes no actual asset. Every operating assumption is declared as an assumption in document 01 §6.</t>
        </is>
      </c>
    </row>
  </sheetData>
  <mergeCells count="15">
    <mergeCell ref="B14:H14"/>
    <mergeCell ref="B17:H17"/>
    <mergeCell ref="B27:H27"/>
    <mergeCell ref="B13:H13"/>
    <mergeCell ref="B9:H9"/>
    <mergeCell ref="B21:H21"/>
    <mergeCell ref="A2:H2"/>
    <mergeCell ref="B12:H12"/>
    <mergeCell ref="B6:H6"/>
    <mergeCell ref="B24:H24"/>
    <mergeCell ref="B16:H16"/>
    <mergeCell ref="B30:H30"/>
    <mergeCell ref="B15:H15"/>
    <mergeCell ref="A1:H1"/>
    <mergeCell ref="B20:H2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3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48" customWidth="1" style="36" min="1" max="1"/>
    <col width="14" customWidth="1" style="36" min="2" max="4"/>
    <col width="20" customWidth="1" style="36" min="5" max="6"/>
  </cols>
  <sheetData>
    <row r="1" ht="17.25" customHeight="1" s="37">
      <c r="A1" s="38" t="inlineStr">
        <is>
          <t>Assessment summary</t>
        </is>
      </c>
    </row>
    <row r="2" ht="15" customHeight="1" s="37">
      <c r="A2" s="39" t="inlineStr">
        <is>
          <t>All figures are live-linked to the risk register. Nothing on this sheet is typed.</t>
        </is>
      </c>
    </row>
    <row r="4" ht="15" customHeight="1" s="37">
      <c r="A4" s="42" t="inlineStr">
        <is>
          <t>RESIDUAL RISK PROFILE</t>
        </is>
      </c>
    </row>
    <row r="5" ht="24" customHeight="1" s="37">
      <c r="A5" s="60" t="inlineStr">
        <is>
          <t>Band</t>
        </is>
      </c>
      <c r="B5" s="60" t="inlineStr">
        <is>
          <t>Count</t>
        </is>
      </c>
      <c r="C5" s="60" t="inlineStr">
        <is>
          <t>Share</t>
        </is>
      </c>
      <c r="D5" s="60" t="inlineStr">
        <is>
          <t>Acceptance authority</t>
        </is>
      </c>
      <c r="E5" s="60" t="n"/>
      <c r="F5" s="60" t="n"/>
    </row>
    <row r="6" ht="19.5" customHeight="1" s="37">
      <c r="A6" s="44" t="inlineStr">
        <is>
          <t>E — Extreme</t>
        </is>
      </c>
      <c r="B6" s="45">
        <f>COUNTIF('Risk register'!$O$5:$O$44,"E")</f>
        <v/>
      </c>
      <c r="C6" s="46">
        <f>B6/$B$10</f>
        <v/>
      </c>
      <c r="D6" s="63" t="inlineStr">
        <is>
          <t>Board or equivalent governing body</t>
        </is>
      </c>
      <c r="E6" s="48" t="n"/>
      <c r="F6" s="49" t="n"/>
    </row>
    <row r="7" ht="19.5" customHeight="1" s="37">
      <c r="A7" s="50" t="inlineStr">
        <is>
          <t>H — High</t>
        </is>
      </c>
      <c r="B7" s="45">
        <f>COUNTIF('Risk register'!$O$5:$O$44,"H")</f>
        <v/>
      </c>
      <c r="C7" s="46">
        <f>B7/$B$10</f>
        <v/>
      </c>
      <c r="D7" s="63" t="inlineStr">
        <is>
          <t>Asset owner executive</t>
        </is>
      </c>
      <c r="E7" s="48" t="n"/>
      <c r="F7" s="49" t="n"/>
    </row>
    <row r="8" ht="19.5" customHeight="1" s="37">
      <c r="A8" s="51" t="inlineStr">
        <is>
          <t>M — Medium</t>
        </is>
      </c>
      <c r="B8" s="45">
        <f>COUNTIF('Risk register'!$O$5:$O$44,"M")</f>
        <v/>
      </c>
      <c r="C8" s="46">
        <f>B8/$B$10</f>
        <v/>
      </c>
      <c r="D8" s="63" t="inlineStr">
        <is>
          <t>Asset manager</t>
        </is>
      </c>
      <c r="E8" s="48" t="n"/>
      <c r="F8" s="49" t="n"/>
    </row>
    <row r="9" ht="19.5" customHeight="1" s="37">
      <c r="A9" s="52" t="inlineStr">
        <is>
          <t>L — Low</t>
        </is>
      </c>
      <c r="B9" s="45">
        <f>COUNTIF('Risk register'!$O$5:$O$44,"L")</f>
        <v/>
      </c>
      <c r="C9" s="46">
        <f>B9/$B$10</f>
        <v/>
      </c>
      <c r="D9" s="63" t="inlineStr">
        <is>
          <t>Site</t>
        </is>
      </c>
      <c r="E9" s="48" t="n"/>
      <c r="F9" s="49" t="n"/>
    </row>
    <row r="10" ht="19.5" customHeight="1" s="37">
      <c r="A10" s="53" t="inlineStr">
        <is>
          <t>Total</t>
        </is>
      </c>
      <c r="B10" s="54">
        <f>SUM(B6:B9)</f>
        <v/>
      </c>
      <c r="C10" s="55">
        <f>SUM(C6:C9)</f>
        <v/>
      </c>
      <c r="D10" s="53" t="n"/>
      <c r="E10" s="53" t="n"/>
      <c r="F10" s="53" t="n"/>
    </row>
    <row r="12" ht="15" customHeight="1" s="37">
      <c r="A12" s="42" t="inlineStr">
        <is>
          <t>RISK REDUCTION DELIVERED BY EXISTING CONTROLS</t>
        </is>
      </c>
    </row>
    <row r="13" ht="24" customHeight="1" s="37">
      <c r="A13" s="60" t="inlineStr">
        <is>
          <t>Band</t>
        </is>
      </c>
      <c r="B13" s="60" t="inlineStr">
        <is>
          <t>Unmitigated</t>
        </is>
      </c>
      <c r="C13" s="60" t="inlineStr">
        <is>
          <t>Residual</t>
        </is>
      </c>
      <c r="D13" s="60" t="inlineStr">
        <is>
          <t>Change</t>
        </is>
      </c>
      <c r="E13" s="60" t="n"/>
      <c r="F13" s="60" t="n"/>
    </row>
    <row r="14" ht="19.5" customHeight="1" s="37">
      <c r="A14" s="63" t="inlineStr">
        <is>
          <t>E — Extreme</t>
        </is>
      </c>
      <c r="B14" s="45">
        <f>COUNTIF('Risk register'!$L$5:$L$44,"E")</f>
        <v/>
      </c>
      <c r="C14" s="45">
        <f>COUNTIF('Risk register'!$O$5:$O$44,"E")</f>
        <v/>
      </c>
      <c r="D14" s="45">
        <f>C14-B14</f>
        <v/>
      </c>
      <c r="E14" s="63" t="n"/>
      <c r="F14" s="63" t="n"/>
    </row>
    <row r="15" ht="19.5" customHeight="1" s="37">
      <c r="A15" s="63" t="inlineStr">
        <is>
          <t>H — High</t>
        </is>
      </c>
      <c r="B15" s="45">
        <f>COUNTIF('Risk register'!$L$5:$L$44,"H")</f>
        <v/>
      </c>
      <c r="C15" s="45">
        <f>COUNTIF('Risk register'!$O$5:$O$44,"H")</f>
        <v/>
      </c>
      <c r="D15" s="45">
        <f>C15-B15</f>
        <v/>
      </c>
      <c r="E15" s="63" t="n"/>
      <c r="F15" s="63" t="n"/>
    </row>
    <row r="16" ht="19.5" customHeight="1" s="37">
      <c r="A16" s="63" t="inlineStr">
        <is>
          <t>M — Medium</t>
        </is>
      </c>
      <c r="B16" s="45">
        <f>COUNTIF('Risk register'!$L$5:$L$44,"M")</f>
        <v/>
      </c>
      <c r="C16" s="45">
        <f>COUNTIF('Risk register'!$O$5:$O$44,"M")</f>
        <v/>
      </c>
      <c r="D16" s="45">
        <f>C16-B16</f>
        <v/>
      </c>
      <c r="E16" s="63" t="n"/>
      <c r="F16" s="63" t="n"/>
    </row>
    <row r="17" ht="19.5" customHeight="1" s="37">
      <c r="A17" s="63" t="inlineStr">
        <is>
          <t>L — Low</t>
        </is>
      </c>
      <c r="B17" s="45">
        <f>COUNTIF('Risk register'!$L$5:$L$44,"L")</f>
        <v/>
      </c>
      <c r="C17" s="45">
        <f>COUNTIF('Risk register'!$O$5:$O$44,"L")</f>
        <v/>
      </c>
      <c r="D17" s="45">
        <f>C17-B17</f>
        <v/>
      </c>
      <c r="E17" s="63" t="n"/>
      <c r="F17" s="63" t="n"/>
    </row>
    <row r="19" ht="15" customHeight="1" s="37">
      <c r="A19" s="42" t="inlineStr">
        <is>
          <t>LIFE-SAFETY OVERRIDE (ZCR 4 s5, as corrected 14 Sept 2026)</t>
        </is>
      </c>
    </row>
    <row r="20" ht="19.5" customHeight="1" s="37">
      <c r="A20" s="63" t="inlineStr">
        <is>
          <t>Risks with a credible path to fatality — safety 5, or environment 5 by uncontrolled water release (treated regardless of band)</t>
        </is>
      </c>
      <c r="B20" s="45">
        <f>COUNTIFS('Risk register'!$I$5:$I$44,"Safety",'Risk register'!$J$5:$J$44,5)+COUNTIFS('Risk register'!$I$5:$I$44,"Environment",'Risk register'!$J$5:$J$44,5)</f>
        <v/>
      </c>
      <c r="C20" s="63" t="n"/>
      <c r="D20" s="63" t="n"/>
      <c r="E20" s="63" t="n"/>
      <c r="F20" s="63" t="n"/>
    </row>
    <row r="22" ht="15" customHeight="1" s="37">
      <c r="A22" s="42" t="inlineStr">
        <is>
          <t>TREATMENT LOAD</t>
        </is>
      </c>
    </row>
    <row r="23" ht="19.5" customHeight="1" s="37">
      <c r="A23" s="63" t="inlineStr">
        <is>
          <t>Risks flagged as requiring treatment</t>
        </is>
      </c>
      <c r="B23" s="45">
        <f>COUNTIF('Risk register'!$P$5:$P$44,"YES")+COUNTIF('Risk register'!$P$5:$P$44,"YES - life-safety override")</f>
        <v/>
      </c>
      <c r="C23" s="63" t="n"/>
      <c r="D23" s="63" t="n"/>
      <c r="E23" s="63" t="n"/>
      <c r="F23" s="63" t="n"/>
    </row>
    <row r="24" ht="19.5" customHeight="1" s="37">
      <c r="A24" s="63" t="inlineStr">
        <is>
          <t>Risks tolerable with justification and monitoring</t>
        </is>
      </c>
      <c r="B24" s="45">
        <f>COUNTIF('Risk register'!$P$5:$P$44,"Justify &amp; monitor")</f>
        <v/>
      </c>
      <c r="C24" s="63" t="n"/>
      <c r="D24" s="63" t="n"/>
      <c r="E24" s="63" t="n"/>
      <c r="F24" s="63" t="n"/>
    </row>
    <row r="26" ht="15" customHeight="1" s="37">
      <c r="A26" s="42" t="inlineStr">
        <is>
          <t>WHAT THE NUMBERS SAY</t>
        </is>
      </c>
    </row>
    <row r="27" ht="39.75" customHeight="1" s="37">
      <c r="A27" s="56" t="inlineStr">
        <is>
          <t>• The residual Extremes cluster in three places, and none of them is the turbine. They are the intake (uncontrolled physical access to a gate controller), the vendor remote access path (shared credentials, no session recording), and recovery (backups on the same domain as the host that would be encrypted).</t>
        </is>
      </c>
    </row>
    <row r="28" ht="39.75" customHeight="1" s="37">
      <c r="A28" s="56" t="inlineStr">
        <is>
          <t>• Existing controls move very little. The unmitigated and residual profiles are close because most countermeasures in place are detective and periodic — annual protection testing, monthly inspection, an annual firewall review — against threats that act in minutes. That is the finding, not the arithmetic.</t>
        </is>
      </c>
    </row>
    <row r="29" ht="39.75" customHeight="1" s="37">
      <c r="A29" s="56" t="inlineStr">
        <is>
          <t>• The single highest residual risk, R-22, has no network treatment at all. An adversary standing at the intake RTU is not mitigated by anything in the network design, which is why the treatment is detection and command validation rather than access control.</t>
        </is>
      </c>
    </row>
    <row r="30" ht="39.75" customHeight="1" s="37">
      <c r="A30" s="56" t="inlineStr">
        <is>
          <t>• Two of the top three findings are contractual rather than technical: 62443-2-4 obligations on the vendor and a restore-tested off-site backup. That is normal, and it is why the CRS matters more than the firewall.</t>
        </is>
      </c>
    </row>
    <row r="32" ht="20" customHeight="1" s="37">
      <c r="A32" s="57" t="inlineStr">
        <is>
          <t>✔ CALIBRATION — RESOLVED BY ROUTE 2, APPROVED 14 SEPT 2026</t>
        </is>
      </c>
    </row>
    <row r="33" ht="46" customHeight="1" s="37">
      <c r="A33" s="58" t="inlineStr">
        <is>
          <t>The register originally flagged 39 of 40 risks for treatment, with 17 risks carrying safety consequence 5. Most of those 5s were INHERITED from what a risk enabled rather than what it directly achieved. Route 2 has been applied: each risk is now rated at the consequence it achieves at the point it reaches, without traversing a further zone boundary or defeating a further control. The escalation chains are carried on the 'Attack path' sheet.</t>
        </is>
      </c>
    </row>
    <row r="34" ht="60" customHeight="1" s="37">
      <c r="A34" s="59" t="inlineStr">
        <is>
          <t>Renoted: R-12, R-17, R-26, R-35, R-38, R-39 — from safety 5 to availability 4. R-20 was already rated directly and is unchanged. Effect: the Extreme band falls from 17 to 11, and the SAFETY-5 population falls from 17 to 11. Route 2 also exposed a drafting gap in ZCR 4 s5: the override named only the Safety category, while ZCR 4's own environment-5 band describes uncontrolled water release affecting third parties, which is a fatality mechanism. Document 04 has been corrected and the override now reads LIFE-SAFETY, covering 16 risks.</t>
        </is>
      </c>
    </row>
    <row r="35" ht="46" customHeight="1" s="37">
      <c r="A35" s="59" t="inlineStr">
        <is>
          <t>WHAT ROUTE 2 DID NOT FIX, STATED PLAINLY. The treatment load is still 39 of 40, because the ZCR 4 criteria require treatment at High as well as Extreme, and a plant with periodic detective controls against threats that act in minutes genuinely sits there before treatment. Route 2 was never going to change that number and it has not. What it changed is the ranking underneath it.</t>
        </is>
      </c>
    </row>
    <row r="36" ht="46" customHeight="1" s="37">
      <c r="A36" s="59" t="inlineStr">
        <is>
          <t>That ranking is now explicit. Column U of the register carries a priority score: consequence x residual likelihood, with safety-5 lifted above everything else because ZCR 4 makes it non-negotiable. The treatment plan is ordered on that score. 'What do I fund first' has an answer that does not depend on the reader's patience.</t>
        </is>
      </c>
    </row>
    <row r="37" ht="46" customHeight="1" s="37">
      <c r="A37" s="59" t="inlineStr">
        <is>
          <t>ROUTES NOT TAKEN. Route 1 (accept the 97% and defend the treatment ordering instead) is defensible but does the same work with less transparency. Route 3 (re-examine residual likelihood) asks a question that can only be answered by testing controls that do not exist on a fictional facility — it is an engineering answer to a rating question.</t>
        </is>
      </c>
    </row>
    <row r="38" ht="46" customHeight="1" s="37">
      <c r="A38" s="59" t="inlineStr">
        <is>
          <t>THE CONDITION ON ALL OF THIS. All six renotings hold ONLY because the hardwired overspeed trip is independent of every programmable device (assumption A-01, contracted as GC-2) and the gate closure-rate limit sits outside programmable logic (CRS-009). If A-01 is false, all six return to consequence 5, the Extreme band returns to 17, and Z-02 rises to SL-T 4. A-01 is the first thing to verify on site.</t>
        </is>
      </c>
    </row>
    <row r="39" ht="46" customHeight="1" s="37">
      <c r="A39" s="59" t="inlineStr">
        <is>
          <t>Recorded here and in the ZCR 7 approval record, as required. An unexplained 97% treatment rate reads as an assessor who did not calibrate; an explained one reads as an assessor who did.</t>
        </is>
      </c>
    </row>
  </sheetData>
  <mergeCells count="18">
    <mergeCell ref="A38:F38"/>
    <mergeCell ref="A2:F2"/>
    <mergeCell ref="A33:F33"/>
    <mergeCell ref="A28:F28"/>
    <mergeCell ref="D8:F8"/>
    <mergeCell ref="A36:F36"/>
    <mergeCell ref="A1:F1"/>
    <mergeCell ref="A37:F37"/>
    <mergeCell ref="A32:F32"/>
    <mergeCell ref="A27:F27"/>
    <mergeCell ref="D9:F9"/>
    <mergeCell ref="A34:F34"/>
    <mergeCell ref="A35:F35"/>
    <mergeCell ref="D7:F7"/>
    <mergeCell ref="A30:F30"/>
    <mergeCell ref="D6:F6"/>
    <mergeCell ref="A29:F29"/>
    <mergeCell ref="A39:F39"/>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U47"/>
  <sheetViews>
    <sheetView showFormulas="0" showGridLines="0"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baseColWidth="8" defaultColWidth="8.6796875" defaultRowHeight="15" zeroHeight="0" outlineLevelRow="0"/>
  <cols>
    <col width="8" customWidth="1" style="36" min="1" max="2"/>
    <col width="24" customWidth="1" style="36" min="3" max="3"/>
    <col width="6" customWidth="1" style="36" min="4" max="4"/>
    <col width="52" customWidth="1" style="36" min="5" max="5"/>
    <col width="30" customWidth="1" style="36" min="6" max="6"/>
    <col width="40" customWidth="1" style="36" min="7" max="7"/>
    <col width="7" customWidth="1" style="36" min="8" max="8"/>
    <col width="11" customWidth="1" style="36" min="9" max="9"/>
    <col width="8" customWidth="1" style="36" min="10" max="10"/>
    <col width="11" customWidth="1" style="36" min="11" max="12"/>
    <col width="34" customWidth="1" style="36" min="13" max="13"/>
    <col width="11" customWidth="1" style="36" min="14" max="14"/>
    <col width="10" customWidth="1" style="36" min="15" max="15"/>
    <col width="16" customWidth="1" style="36" min="16" max="16"/>
    <col width="12" customWidth="1" style="36" min="17" max="17"/>
    <col width="10" customWidth="1" style="36" min="18" max="18"/>
    <col width="46" customWidth="1" style="36" min="19" max="19"/>
    <col width="46" customWidth="1" style="37" min="20" max="20"/>
    <col width="10" customWidth="1" style="37" min="21" max="21"/>
  </cols>
  <sheetData>
    <row r="1" ht="17.25" customHeight="1" s="37">
      <c r="A1" s="38" t="inlineStr">
        <is>
          <t>ZCR 5 — Detailed risk register</t>
        </is>
      </c>
    </row>
    <row r="2" ht="15" customHeight="1" s="37">
      <c r="A2" s="39" t="inlineStr">
        <is>
          <t>Kanangra Creek Hydro Station · 40 risks across 8 zones and 12 conduits · Threat source: MITRE ATT&amp;CK for ICS v19.2 · Yellow cells are inputs; risk bands are calculated from the ZCR 4 matrix on 'Scales'.</t>
        </is>
      </c>
    </row>
    <row r="4" ht="42" customHeight="1" s="37">
      <c r="A4" s="60" t="inlineStr">
        <is>
          <t>Risk ID</t>
        </is>
      </c>
      <c r="B4" s="60" t="inlineStr">
        <is>
          <t>Zone /
Conduit</t>
        </is>
      </c>
      <c r="C4" s="60" t="inlineStr">
        <is>
          <t>Element</t>
        </is>
      </c>
      <c r="D4" s="60" t="inlineStr">
        <is>
          <t>SL-T</t>
        </is>
      </c>
      <c r="E4" s="60" t="inlineStr">
        <is>
          <t>Threat scenario</t>
        </is>
      </c>
      <c r="F4" s="60" t="inlineStr">
        <is>
          <t>ATT&amp;CK for ICS technique(s)</t>
        </is>
      </c>
      <c r="G4" s="60" t="inlineStr">
        <is>
          <t>Vulnerability / weakness</t>
        </is>
      </c>
      <c r="H4" s="60" t="inlineStr">
        <is>
          <t>Cons.
ref</t>
        </is>
      </c>
      <c r="I4" s="60" t="inlineStr">
        <is>
          <t>Primary
category</t>
        </is>
      </c>
      <c r="J4" s="60" t="inlineStr">
        <is>
          <t>Cons.
(1-5)</t>
        </is>
      </c>
      <c r="K4" s="60" t="inlineStr">
        <is>
          <t>Likelihood
unmitigated</t>
        </is>
      </c>
      <c r="L4" s="60" t="inlineStr">
        <is>
          <t>Unmitigated
risk</t>
        </is>
      </c>
      <c r="M4" s="60" t="inlineStr">
        <is>
          <t>Existing countermeasures</t>
        </is>
      </c>
      <c r="N4" s="60" t="inlineStr">
        <is>
          <t>Likelihood
residual</t>
        </is>
      </c>
      <c r="O4" s="60" t="inlineStr">
        <is>
          <t>Residual
risk</t>
        </is>
      </c>
      <c r="P4" s="60" t="inlineStr">
        <is>
          <t>Treatment
required?</t>
        </is>
      </c>
      <c r="Q4" s="60" t="inlineStr">
        <is>
          <t>Owner</t>
        </is>
      </c>
      <c r="R4" s="60" t="inlineStr">
        <is>
          <t>Target
date</t>
        </is>
      </c>
      <c r="S4" s="60" t="inlineStr">
        <is>
          <t>Assessor note</t>
        </is>
      </c>
      <c r="T4" s="60" t="inlineStr">
        <is>
          <t>Escalates to
(Route 2)</t>
        </is>
      </c>
      <c r="U4" s="60" t="inlineStr">
        <is>
          <t>Priority
score
(C x Lres)</t>
        </is>
      </c>
    </row>
    <row r="5" ht="57.75" customHeight="1" s="37">
      <c r="A5" s="45" t="inlineStr">
        <is>
          <t>R-01</t>
        </is>
      </c>
      <c r="B5" s="45" t="inlineStr">
        <is>
          <t>Z-01</t>
        </is>
      </c>
      <c r="C5" s="63" t="inlineStr">
        <is>
          <t>Generator protection relay</t>
        </is>
      </c>
      <c r="D5" s="45" t="inlineStr">
        <is>
          <t>3</t>
        </is>
      </c>
      <c r="E5" s="63" t="inlineStr">
        <is>
          <t>Adversary with engineering workstation access alters the active protection setting group so that differential and overspeed elements no longer operate at the intended thresholds.</t>
        </is>
      </c>
      <c r="F5" s="63" t="inlineStr">
        <is>
          <t>T0836 Modify Parameter; T0837 Loss of Protection</t>
        </is>
      </c>
      <c r="G5" s="63" t="inlineStr">
        <is>
          <t>Relay setting software is installed on the shared engineering workstation. Setting changes are not independently verified against an approved settings schedule.</t>
        </is>
      </c>
      <c r="H5" s="45" t="inlineStr">
        <is>
          <t>S-04</t>
        </is>
      </c>
      <c r="I5" s="63" t="inlineStr">
        <is>
          <t>Safety</t>
        </is>
      </c>
      <c r="J5" s="61" t="n">
        <v>5</v>
      </c>
      <c r="K5" s="61" t="n">
        <v>3</v>
      </c>
      <c r="L5" s="45">
        <f>INDEX(Scales!$B$24:$F$28,6-K5,J5)</f>
        <v/>
      </c>
      <c r="M5" s="63" t="inlineStr">
        <is>
          <t>Powerhouse physical access control. Relay local passwords. Annual protection testing.</t>
        </is>
      </c>
      <c r="N5" s="61" t="n">
        <v>2</v>
      </c>
      <c r="O5" s="45">
        <f>INDEX(Scales!$B$24:$F$28,6-N5,J5)</f>
        <v/>
      </c>
      <c r="P5" s="63">
        <f>IF(AND(J5=5,OR(I5="Safety",I5="Environment")),"YES - life-safety override",IF(OR(O5="E",O5="H"),"YES",IF(O5="M","Justify &amp; monitor","No")))</f>
        <v/>
      </c>
      <c r="Q5" s="62" t="n"/>
      <c r="R5" s="62" t="n"/>
      <c r="S5" s="63" t="inlineStr">
        <is>
          <t>Annual testing detects a changed setting up to 12 months late. That interval IS the exposure.</t>
        </is>
      </c>
      <c r="T5" s="63" t="n"/>
      <c r="U5" s="64">
        <f>J5*N5</f>
        <v/>
      </c>
    </row>
    <row r="6" ht="57.75" customHeight="1" s="37">
      <c r="A6" s="45" t="inlineStr">
        <is>
          <t>R-02</t>
        </is>
      </c>
      <c r="B6" s="45" t="inlineStr">
        <is>
          <t>Z-01</t>
        </is>
      </c>
      <c r="C6" s="63" t="inlineStr">
        <is>
          <t>Protection trip outputs</t>
        </is>
      </c>
      <c r="D6" s="45" t="inlineStr">
        <is>
          <t>3</t>
        </is>
      </c>
      <c r="E6" s="63" t="inlineStr">
        <is>
          <t>Trip outputs are blocked or the relay is placed out of service, leaving equipment running unprotected until a fault occurs.</t>
        </is>
      </c>
      <c r="F6" s="63" t="inlineStr">
        <is>
          <t>T0837 Loss of Protection; T1691 Block Operational Technology Message</t>
        </is>
      </c>
      <c r="G6" s="63" t="inlineStr">
        <is>
          <t>Out-of-service state is indicated locally but is not alarmed to the control centre.</t>
        </is>
      </c>
      <c r="H6" s="45" t="inlineStr">
        <is>
          <t>S-04</t>
        </is>
      </c>
      <c r="I6" s="63" t="inlineStr">
        <is>
          <t>Safety</t>
        </is>
      </c>
      <c r="J6" s="61" t="n">
        <v>5</v>
      </c>
      <c r="K6" s="61" t="n">
        <v>3</v>
      </c>
      <c r="L6" s="45">
        <f>INDEX(Scales!$B$24:$F$28,6-K6,J6)</f>
        <v/>
      </c>
      <c r="M6" s="63" t="inlineStr">
        <is>
          <t>Local indication. Operator rounds twice weekly.</t>
        </is>
      </c>
      <c r="N6" s="61" t="n">
        <v>2</v>
      </c>
      <c r="O6" s="45">
        <f>INDEX(Scales!$B$24:$F$28,6-N6,J6)</f>
        <v/>
      </c>
      <c r="P6" s="63">
        <f>IF(AND(J6=5,OR(I6="Safety",I6="Environment")),"YES - life-safety override",IF(OR(O6="E",O6="H"),"YES",IF(O6="M","Justify &amp; monitor","No")))</f>
        <v/>
      </c>
      <c r="Q6" s="62" t="n"/>
      <c r="R6" s="62" t="n"/>
      <c r="S6" s="63" t="inlineStr">
        <is>
          <t>The TRITON pattern: the target is the system that protects the process, not the process.</t>
        </is>
      </c>
      <c r="T6" s="63" t="n"/>
      <c r="U6" s="64">
        <f>J6*N6</f>
        <v/>
      </c>
    </row>
    <row r="7" ht="57.75" customHeight="1" s="37">
      <c r="A7" s="45" t="inlineStr">
        <is>
          <t>R-03</t>
        </is>
      </c>
      <c r="B7" s="45" t="inlineStr">
        <is>
          <t>Z-01</t>
        </is>
      </c>
      <c r="C7" s="63" t="inlineStr">
        <is>
          <t>IEC 61850 process bus</t>
        </is>
      </c>
      <c r="D7" s="45" t="inlineStr">
        <is>
          <t>3</t>
        </is>
      </c>
      <c r="E7" s="63" t="inlineStr">
        <is>
          <t>GOOSE messages are injected or replayed on the process bus to force or inhibit a trip.</t>
        </is>
      </c>
      <c r="F7" s="63" t="inlineStr">
        <is>
          <t>T1692 Unauthorized Message; T0830 Adversary-in-the-Middle</t>
        </is>
      </c>
      <c r="G7" s="63" t="inlineStr">
        <is>
          <t>GOOSE has no authentication in the baseline configuration. Process bus shares physical infrastructure with the station bus.</t>
        </is>
      </c>
      <c r="H7" s="45" t="inlineStr">
        <is>
          <t>S-04</t>
        </is>
      </c>
      <c r="I7" s="63" t="inlineStr">
        <is>
          <t>Safety</t>
        </is>
      </c>
      <c r="J7" s="61" t="n">
        <v>5</v>
      </c>
      <c r="K7" s="61" t="n">
        <v>2</v>
      </c>
      <c r="L7" s="45">
        <f>INDEX(Scales!$B$24:$F$28,6-K7,J7)</f>
        <v/>
      </c>
      <c r="M7" s="63" t="inlineStr">
        <is>
          <t>Process bus is physically within the relay room. VLAN separation from station bus.</t>
        </is>
      </c>
      <c r="N7" s="61" t="n">
        <v>2</v>
      </c>
      <c r="O7" s="45">
        <f>INDEX(Scales!$B$24:$F$28,6-N7,J7)</f>
        <v/>
      </c>
      <c r="P7" s="63">
        <f>IF(AND(J7=5,OR(I7="Safety",I7="Environment")),"YES - life-safety override",IF(OR(O7="E",O7="H"),"YES",IF(O7="M","Justify &amp; monitor","No")))</f>
        <v/>
      </c>
      <c r="Q7" s="62" t="n"/>
      <c r="R7" s="62" t="n"/>
      <c r="S7" s="63" t="inlineStr">
        <is>
          <t>Requires physical presence plus IACS-specific knowledge. VLAN separation is not authentication.</t>
        </is>
      </c>
      <c r="T7" s="63" t="n"/>
      <c r="U7" s="64">
        <f>J7*N7</f>
        <v/>
      </c>
    </row>
    <row r="8" ht="57.75" customHeight="1" s="37">
      <c r="A8" s="45" t="inlineStr">
        <is>
          <t>R-04</t>
        </is>
      </c>
      <c r="B8" s="45" t="inlineStr">
        <is>
          <t>Z-01</t>
        </is>
      </c>
      <c r="C8" s="63" t="inlineStr">
        <is>
          <t>Relay firmware</t>
        </is>
      </c>
      <c r="D8" s="45" t="inlineStr">
        <is>
          <t>3</t>
        </is>
      </c>
      <c r="E8" s="63" t="inlineStr">
        <is>
          <t>Relay firmware is replaced with a modified image that behaves correctly under test and incorrectly under fault.</t>
        </is>
      </c>
      <c r="F8" s="63" t="inlineStr">
        <is>
          <t>T1693 Modify Firmware</t>
        </is>
      </c>
      <c r="G8" s="63" t="inlineStr">
        <is>
          <t>Firmware authenticity is not verified at install. Firmware is obtained from vendor portals over the vendor remote access path.</t>
        </is>
      </c>
      <c r="H8" s="45" t="inlineStr">
        <is>
          <t>S-04</t>
        </is>
      </c>
      <c r="I8" s="63" t="inlineStr">
        <is>
          <t>Safety</t>
        </is>
      </c>
      <c r="J8" s="61" t="n">
        <v>5</v>
      </c>
      <c r="K8" s="61" t="n">
        <v>2</v>
      </c>
      <c r="L8" s="45">
        <f>INDEX(Scales!$B$24:$F$28,6-K8,J8)</f>
        <v/>
      </c>
      <c r="M8" s="63" t="inlineStr">
        <is>
          <t>Vendor-supplied firmware only. Change management approval.</t>
        </is>
      </c>
      <c r="N8" s="61" t="n">
        <v>2</v>
      </c>
      <c r="O8" s="45">
        <f>INDEX(Scales!$B$24:$F$28,6-N8,J8)</f>
        <v/>
      </c>
      <c r="P8" s="63">
        <f>IF(AND(J8=5,OR(I8="Safety",I8="Environment")),"YES - life-safety override",IF(OR(O8="E",O8="H"),"YES",IF(O8="M","Justify &amp; monitor","No")))</f>
        <v/>
      </c>
      <c r="Q8" s="62" t="n"/>
      <c r="R8" s="62" t="n"/>
      <c r="S8" s="63" t="inlineStr">
        <is>
          <t>Low likelihood, maximum consequence, and effectively undetectable by operational testing.</t>
        </is>
      </c>
      <c r="T8" s="63" t="n"/>
      <c r="U8" s="64">
        <f>J8*N8</f>
        <v/>
      </c>
    </row>
    <row r="9" ht="57.75" customHeight="1" s="37">
      <c r="A9" s="45" t="inlineStr">
        <is>
          <t>R-05</t>
        </is>
      </c>
      <c r="B9" s="45" t="inlineStr">
        <is>
          <t>Z-02</t>
        </is>
      </c>
      <c r="C9" s="63" t="inlineStr">
        <is>
          <t>Digital governor</t>
        </is>
      </c>
      <c r="D9" s="45" t="inlineStr">
        <is>
          <t>3</t>
        </is>
      </c>
      <c r="E9" s="63" t="inlineStr">
        <is>
          <t>Governor control logic is downloaded with modified gate sequencing, producing overspeed on load rejection or on an out-of-sync start.</t>
        </is>
      </c>
      <c r="F9" s="63" t="inlineStr">
        <is>
          <t>T0843 Program Download; T0889 Modify Program; T0879 Damage to Property</t>
        </is>
      </c>
      <c r="G9" s="63" t="inlineStr">
        <is>
          <t>Governor programming interface has no per-user authentication. Logic is not integrity-checked after download.</t>
        </is>
      </c>
      <c r="H9" s="45" t="inlineStr">
        <is>
          <t>S-01</t>
        </is>
      </c>
      <c r="I9" s="63" t="inlineStr">
        <is>
          <t>Safety</t>
        </is>
      </c>
      <c r="J9" s="61" t="n">
        <v>5</v>
      </c>
      <c r="K9" s="61" t="n">
        <v>3</v>
      </c>
      <c r="L9" s="45">
        <f>INDEX(Scales!$B$24:$F$28,6-K9,J9)</f>
        <v/>
      </c>
      <c r="M9" s="63" t="inlineStr">
        <is>
          <t>Hardwired overspeed trip (ASSUMPTION A-01). Physical access control.</t>
        </is>
      </c>
      <c r="N9" s="61" t="n">
        <v>2</v>
      </c>
      <c r="O9" s="45">
        <f>INDEX(Scales!$B$24:$F$28,6-N9,J9)</f>
        <v/>
      </c>
      <c r="P9" s="63">
        <f>IF(AND(J9=5,OR(I9="Safety",I9="Environment")),"YES - life-safety override",IF(OR(O9="E",O9="H"),"YES",IF(O9="M","Justify &amp; monitor","No")))</f>
        <v/>
      </c>
      <c r="Q9" s="62" t="n"/>
      <c r="R9" s="62" t="n"/>
      <c r="S9" s="63" t="inlineStr">
        <is>
          <t>SL-T 3 depends entirely on A-01 holding. If the overspeed trip is programmable, this becomes the dominant risk and SL-T rises to 4.</t>
        </is>
      </c>
      <c r="T9" s="63" t="n"/>
      <c r="U9" s="64">
        <f>J9*N9</f>
        <v/>
      </c>
    </row>
    <row r="10" ht="57.75" customHeight="1" s="37">
      <c r="A10" s="45" t="inlineStr">
        <is>
          <t>R-06</t>
        </is>
      </c>
      <c r="B10" s="45" t="inlineStr">
        <is>
          <t>Z-02</t>
        </is>
      </c>
      <c r="C10" s="63" t="inlineStr">
        <is>
          <t>Wicket gate / inlet valve closure rate</t>
        </is>
      </c>
      <c r="D10" s="45" t="inlineStr">
        <is>
          <t>3</t>
        </is>
      </c>
      <c r="E10" s="63" t="inlineStr">
        <is>
          <t>Closure-rate limit is altered so that a commanded closure generates a pressure transient beyond penstock design.</t>
        </is>
      </c>
      <c r="F10" s="63" t="inlineStr">
        <is>
          <t>T0836 Modify Parameter; T0831 Manipulation of Control</t>
        </is>
      </c>
      <c r="G10" s="63" t="inlineStr">
        <is>
          <t>The closure-rate limit is enforced in governor software, i.e. inside the zone an adversary would already control.</t>
        </is>
      </c>
      <c r="H10" s="45" t="inlineStr">
        <is>
          <t>S-02</t>
        </is>
      </c>
      <c r="I10" s="63" t="inlineStr">
        <is>
          <t>Safety</t>
        </is>
      </c>
      <c r="J10" s="61" t="n">
        <v>5</v>
      </c>
      <c r="K10" s="61" t="n">
        <v>3</v>
      </c>
      <c r="L10" s="45">
        <f>INDEX(Scales!$B$24:$F$28,6-K10,J10)</f>
        <v/>
      </c>
      <c r="M10" s="63" t="inlineStr">
        <is>
          <t>Mechanical relief valve (to be confirmed). Change management.</t>
        </is>
      </c>
      <c r="N10" s="61" t="n">
        <v>2</v>
      </c>
      <c r="O10" s="45">
        <f>INDEX(Scales!$B$24:$F$28,6-N10,J10)</f>
        <v/>
      </c>
      <c r="P10" s="63">
        <f>IF(AND(J10=5,OR(I10="Safety",I10="Environment")),"YES - life-safety override",IF(OR(O10="E",O10="H"),"YES",IF(O10="M","Justify &amp; monitor","No")))</f>
        <v/>
      </c>
      <c r="Q10" s="62" t="n"/>
      <c r="R10" s="62" t="n"/>
      <c r="S10" s="63" t="inlineStr">
        <is>
          <t>OPEN QUESTION for the asset owner: where is the closure-rate limit actually enforced? If software-only, no compensating control exists.</t>
        </is>
      </c>
      <c r="T10" s="63" t="n"/>
      <c r="U10" s="64">
        <f>J10*N10</f>
        <v/>
      </c>
    </row>
    <row r="11" ht="57.75" customHeight="1" s="37">
      <c r="A11" s="45" t="inlineStr">
        <is>
          <t>R-07</t>
        </is>
      </c>
      <c r="B11" s="45" t="inlineStr">
        <is>
          <t>Z-02</t>
        </is>
      </c>
      <c r="C11" s="63" t="inlineStr">
        <is>
          <t>Unit control PLC</t>
        </is>
      </c>
      <c r="D11" s="45" t="inlineStr">
        <is>
          <t>3</t>
        </is>
      </c>
      <c r="E11" s="63" t="inlineStr">
        <is>
          <t>PLC is placed in PROGRAM or STOP mode, halting the unit or suspending interlock execution.</t>
        </is>
      </c>
      <c r="F11" s="63" t="inlineStr">
        <is>
          <t>T0858 Change Operating Mode; T0816 Device Restart/Shutdown</t>
        </is>
      </c>
      <c r="G11" s="63" t="inlineStr">
        <is>
          <t>Keyswitch is left in REMOTE. Mode change is not alarmed.</t>
        </is>
      </c>
      <c r="H11" s="45" t="inlineStr">
        <is>
          <t>S-05</t>
        </is>
      </c>
      <c r="I11" s="63" t="inlineStr">
        <is>
          <t>Availability</t>
        </is>
      </c>
      <c r="J11" s="61" t="n">
        <v>4</v>
      </c>
      <c r="K11" s="61" t="n">
        <v>4</v>
      </c>
      <c r="L11" s="45">
        <f>INDEX(Scales!$B$24:$F$28,6-K11,J11)</f>
        <v/>
      </c>
      <c r="M11" s="63" t="inlineStr">
        <is>
          <t>Mode state is visible on the HMI if an operator is watching.</t>
        </is>
      </c>
      <c r="N11" s="61" t="n">
        <v>3</v>
      </c>
      <c r="O11" s="45">
        <f>INDEX(Scales!$B$24:$F$28,6-N11,J11)</f>
        <v/>
      </c>
      <c r="P11" s="63">
        <f>IF(AND(J11=5,OR(I11="Safety",I11="Environment")),"YES - life-safety override",IF(OR(O11="E",O11="H"),"YES",IF(O11="M","Justify &amp; monitor","No")))</f>
        <v/>
      </c>
      <c r="Q11" s="62" t="n"/>
      <c r="R11" s="62" t="n"/>
      <c r="S11" s="63" t="inlineStr">
        <is>
          <t>Station is normally unattended. 'Visible on the HMI' is a weak control in an unattended plant.</t>
        </is>
      </c>
      <c r="T11" s="63" t="n"/>
      <c r="U11" s="64">
        <f>J11*N11</f>
        <v/>
      </c>
    </row>
    <row r="12" ht="57.75" customHeight="1" s="37">
      <c r="A12" s="45" t="inlineStr">
        <is>
          <t>R-08</t>
        </is>
      </c>
      <c r="B12" s="45" t="inlineStr">
        <is>
          <t>Z-02</t>
        </is>
      </c>
      <c r="C12" s="63" t="inlineStr">
        <is>
          <t>Unit start/stop</t>
        </is>
      </c>
      <c r="D12" s="45" t="inlineStr">
        <is>
          <t>3</t>
        </is>
      </c>
      <c r="E12" s="63" t="inlineStr">
        <is>
          <t>Unauthorised start or stop commands are issued directly to the unit control PLC.</t>
        </is>
      </c>
      <c r="F12" s="63" t="inlineStr">
        <is>
          <t>T1692 Unauthorized Message; T0813 Denial of Control</t>
        </is>
      </c>
      <c r="G12" s="63" t="inlineStr">
        <is>
          <t>Command source is not authenticated at the PLC; any host on the supervisory VLAN can write.</t>
        </is>
      </c>
      <c r="H12" s="45" t="inlineStr">
        <is>
          <t>S-05</t>
        </is>
      </c>
      <c r="I12" s="63" t="inlineStr">
        <is>
          <t>Availability</t>
        </is>
      </c>
      <c r="J12" s="61" t="n">
        <v>4</v>
      </c>
      <c r="K12" s="61" t="n">
        <v>4</v>
      </c>
      <c r="L12" s="45">
        <f>INDEX(Scales!$B$24:$F$28,6-K12,J12)</f>
        <v/>
      </c>
      <c r="M12" s="63" t="inlineStr">
        <is>
          <t>Control centre logs dispatch actions. Unit protection prevents out-of-sync closure.</t>
        </is>
      </c>
      <c r="N12" s="61" t="n">
        <v>3</v>
      </c>
      <c r="O12" s="45">
        <f>INDEX(Scales!$B$24:$F$28,6-N12,J12)</f>
        <v/>
      </c>
      <c r="P12" s="63">
        <f>IF(AND(J12=5,OR(I12="Safety",I12="Environment")),"YES - life-safety override",IF(OR(O12="E",O12="H"),"YES",IF(O12="M","Justify &amp; monitor","No")))</f>
        <v/>
      </c>
      <c r="Q12" s="62" t="n"/>
      <c r="R12" s="62" t="n"/>
      <c r="S12" s="63" t="inlineStr">
        <is>
          <t>SOCI: OT offline is a significant impact on availability, triggering the 12-hour report, not 72.</t>
        </is>
      </c>
      <c r="T12" s="63" t="n"/>
      <c r="U12" s="64">
        <f>J12*N12</f>
        <v/>
      </c>
    </row>
    <row r="13" ht="57.75" customHeight="1" s="37">
      <c r="A13" s="45" t="inlineStr">
        <is>
          <t>R-09</t>
        </is>
      </c>
      <c r="B13" s="45" t="inlineStr">
        <is>
          <t>Z-02</t>
        </is>
      </c>
      <c r="C13" s="63" t="inlineStr">
        <is>
          <t>Automatic voltage regulator</t>
        </is>
      </c>
      <c r="D13" s="45" t="inlineStr">
        <is>
          <t>3</t>
        </is>
      </c>
      <c r="E13" s="63" t="inlineStr">
        <is>
          <t>Excitation setpoints are manipulated, driving the generator toward loss of field or over-excitation.</t>
        </is>
      </c>
      <c r="F13" s="63" t="inlineStr">
        <is>
          <t>T0836 Modify Parameter; T0831 Manipulation of Control</t>
        </is>
      </c>
      <c r="G13" s="63" t="inlineStr">
        <is>
          <t>AVR is on a proprietary serial link with no authentication; reachable from the unit control cabinet.</t>
        </is>
      </c>
      <c r="H13" s="45" t="inlineStr">
        <is>
          <t>S-01</t>
        </is>
      </c>
      <c r="I13" s="63" t="inlineStr">
        <is>
          <t>Financial</t>
        </is>
      </c>
      <c r="J13" s="61" t="n">
        <v>4</v>
      </c>
      <c r="K13" s="61" t="n">
        <v>2</v>
      </c>
      <c r="L13" s="45">
        <f>INDEX(Scales!$B$24:$F$28,6-K13,J13)</f>
        <v/>
      </c>
      <c r="M13" s="63" t="inlineStr">
        <is>
          <t>Generator protection (loss of field, over-excitation elements).</t>
        </is>
      </c>
      <c r="N13" s="61" t="n">
        <v>2</v>
      </c>
      <c r="O13" s="45">
        <f>INDEX(Scales!$B$24:$F$28,6-N13,J13)</f>
        <v/>
      </c>
      <c r="P13" s="63">
        <f>IF(AND(J13=5,OR(I13="Safety",I13="Environment")),"YES - life-safety override",IF(OR(O13="E",O13="H"),"YES",IF(O13="M","Justify &amp; monitor","No")))</f>
        <v/>
      </c>
      <c r="Q13" s="62" t="n"/>
      <c r="R13" s="62" t="n"/>
      <c r="S13" s="63" t="inlineStr">
        <is>
          <t>Protection is the compensating control — which is why R-01 and R-02 matter more than they look.</t>
        </is>
      </c>
      <c r="T13" s="63" t="n"/>
      <c r="U13" s="64">
        <f>J13*N13</f>
        <v/>
      </c>
    </row>
    <row r="14" ht="57.75" customHeight="1" s="37">
      <c r="A14" s="45" t="inlineStr">
        <is>
          <t>R-10</t>
        </is>
      </c>
      <c r="B14" s="45" t="inlineStr">
        <is>
          <t>Z-03</t>
        </is>
      </c>
      <c r="C14" s="63" t="inlineStr">
        <is>
          <t>Cooling water / lube oil control</t>
        </is>
      </c>
      <c r="D14" s="45" t="inlineStr">
        <is>
          <t>2</t>
        </is>
      </c>
      <c r="E14" s="63" t="inlineStr">
        <is>
          <t>Setpoints are drifted slowly so that bearing and winding temperatures rise toward but not through alarm thresholds.</t>
        </is>
      </c>
      <c r="F14" s="63" t="inlineStr">
        <is>
          <t>T0836 Modify Parameter; T0831 Manipulation of Control</t>
        </is>
      </c>
      <c r="G14" s="63" t="inlineStr">
        <is>
          <t>Auxiliary setpoints are not baselined; no alerting on setpoint change, only on process value.</t>
        </is>
      </c>
      <c r="H14" s="45" t="inlineStr">
        <is>
          <t>S-08</t>
        </is>
      </c>
      <c r="I14" s="63" t="inlineStr">
        <is>
          <t>Availability</t>
        </is>
      </c>
      <c r="J14" s="61" t="n">
        <v>4</v>
      </c>
      <c r="K14" s="61" t="n">
        <v>3</v>
      </c>
      <c r="L14" s="45">
        <f>INDEX(Scales!$B$24:$F$28,6-K14,J14)</f>
        <v/>
      </c>
      <c r="M14" s="63" t="inlineStr">
        <is>
          <t>High-temperature trips via protection. Monthly maintenance inspection.</t>
        </is>
      </c>
      <c r="N14" s="61" t="n">
        <v>2</v>
      </c>
      <c r="O14" s="45">
        <f>INDEX(Scales!$B$24:$F$28,6-N14,J14)</f>
        <v/>
      </c>
      <c r="P14" s="63">
        <f>IF(AND(J14=5,OR(I14="Safety",I14="Environment")),"YES - life-safety override",IF(OR(O14="E",O14="H"),"YES",IF(O14="M","Justify &amp; monitor","No")))</f>
        <v/>
      </c>
      <c r="Q14" s="62" t="n"/>
      <c r="R14" s="62" t="n"/>
      <c r="S14" s="63" t="inlineStr">
        <is>
          <t>The slow variant is the dangerous one: it stays inside alarm tolerance and is invisible to threshold alarming.</t>
        </is>
      </c>
      <c r="T14" s="63" t="n"/>
      <c r="U14" s="64">
        <f>J14*N14</f>
        <v/>
      </c>
    </row>
    <row r="15" ht="57.75" customHeight="1" s="37">
      <c r="A15" s="45" t="inlineStr">
        <is>
          <t>R-11</t>
        </is>
      </c>
      <c r="B15" s="45" t="inlineStr">
        <is>
          <t>Z-03</t>
        </is>
      </c>
      <c r="C15" s="63" t="inlineStr">
        <is>
          <t>Drainage and dewatering</t>
        </is>
      </c>
      <c r="D15" s="45" t="inlineStr">
        <is>
          <t>2</t>
        </is>
      </c>
      <c r="E15" s="63" t="inlineStr">
        <is>
          <t>Drainage pumps are stopped or inhibited, allowing water ingress to reach electrical equipment in the powerhouse.</t>
        </is>
      </c>
      <c r="F15" s="63" t="inlineStr">
        <is>
          <t>T0881 Service Stop; T0813 Denial of Control</t>
        </is>
      </c>
      <c r="G15" s="63" t="inlineStr">
        <is>
          <t>Pump run status is monitored; pump inhibit state is not.</t>
        </is>
      </c>
      <c r="H15" s="45" t="inlineStr">
        <is>
          <t>S-08</t>
        </is>
      </c>
      <c r="I15" s="63" t="inlineStr">
        <is>
          <t>Availability</t>
        </is>
      </c>
      <c r="J15" s="61" t="n">
        <v>4</v>
      </c>
      <c r="K15" s="61" t="n">
        <v>3</v>
      </c>
      <c r="L15" s="45">
        <f>INDEX(Scales!$B$24:$F$28,6-K15,J15)</f>
        <v/>
      </c>
      <c r="M15" s="63" t="inlineStr">
        <is>
          <t>Sump high-level alarm to control centre.</t>
        </is>
      </c>
      <c r="N15" s="61" t="n">
        <v>2</v>
      </c>
      <c r="O15" s="45">
        <f>INDEX(Scales!$B$24:$F$28,6-N15,J15)</f>
        <v/>
      </c>
      <c r="P15" s="63">
        <f>IF(AND(J15=5,OR(I15="Safety",I15="Environment")),"YES - life-safety override",IF(OR(O15="E",O15="H"),"YES",IF(O15="M","Justify &amp; monitor","No")))</f>
        <v/>
      </c>
      <c r="Q15" s="62" t="n"/>
      <c r="R15" s="62" t="n"/>
      <c r="S15" s="63" t="inlineStr">
        <is>
          <t>High-level alarm is the last line, not the first. It fires when the problem is already physical.</t>
        </is>
      </c>
      <c r="T15" s="63" t="n"/>
      <c r="U15" s="64">
        <f>J15*N15</f>
        <v/>
      </c>
    </row>
    <row r="16" ht="57.75" customHeight="1" s="37">
      <c r="A16" s="45" t="inlineStr">
        <is>
          <t>R-12</t>
        </is>
      </c>
      <c r="B16" s="45" t="inlineStr">
        <is>
          <t>Z-03</t>
        </is>
      </c>
      <c r="C16" s="63" t="inlineStr">
        <is>
          <t>Auxiliaries PLC as pivot</t>
        </is>
      </c>
      <c r="D16" s="45" t="inlineStr">
        <is>
          <t>2</t>
        </is>
      </c>
      <c r="E16" s="63" t="inlineStr">
        <is>
          <t>The auxiliaries PLC, being lower-assurance, is used as a staging point to reach the unit control zone.</t>
        </is>
      </c>
      <c r="F16" s="63" t="inlineStr">
        <is>
          <t>T0867 Lateral Tool Transfer; T0846 Remote System Discovery</t>
        </is>
      </c>
      <c r="G16" s="63" t="inlineStr">
        <is>
          <t>Conduit C-03 permits broader traffic than the permissive exchange requires.</t>
        </is>
      </c>
      <c r="H16" s="45" t="inlineStr">
        <is>
          <t>S-08</t>
        </is>
      </c>
      <c r="I16" s="63" t="inlineStr">
        <is>
          <t>Availability</t>
        </is>
      </c>
      <c r="J16" s="61" t="n">
        <v>4</v>
      </c>
      <c r="K16" s="61" t="n">
        <v>3</v>
      </c>
      <c r="L16" s="45">
        <f>INDEX(Scales!$B$24:$F$28,6-K16,J16)</f>
        <v/>
      </c>
      <c r="M16" s="63" t="inlineStr">
        <is>
          <t>VLAN separation between Z-03 and Z-02.</t>
        </is>
      </c>
      <c r="N16" s="61" t="n">
        <v>3</v>
      </c>
      <c r="O16" s="45">
        <f>INDEX(Scales!$B$24:$F$28,6-N16,J16)</f>
        <v/>
      </c>
      <c r="P16" s="63">
        <f>IF(AND(J16=5,OR(I16="Safety",I16="Environment")),"YES - life-safety override",IF(OR(O16="E",O16="H"),"YES",IF(O16="M","Justify &amp; monitor","No")))</f>
        <v/>
      </c>
      <c r="Q16" s="62" t="n"/>
      <c r="R16" s="62" t="n"/>
      <c r="S16" s="63" t="inlineStr">
        <is>
          <t>ROUTE 2 — rated at direct consequence. An adversary on the auxiliaries PLC can stop cooling, lube oil and drainage; the machine trips and may need bearing inspection. It does not reach the turbine unless it also crosses into Z-02. The cascade is carried on 'Attack path', not in this cell.</t>
        </is>
      </c>
      <c r="T16" s="63" t="inlineStr">
        <is>
          <t>S-01 via C-03 into Z-02 (lateral movement from a lower-assurance zone)</t>
        </is>
      </c>
      <c r="U16" s="64">
        <f>J16*N16</f>
        <v/>
      </c>
    </row>
    <row r="17" ht="57.75" customHeight="1" s="37">
      <c r="A17" s="45" t="inlineStr">
        <is>
          <t>R-13</t>
        </is>
      </c>
      <c r="B17" s="45" t="inlineStr">
        <is>
          <t>Z-04</t>
        </is>
      </c>
      <c r="C17" s="63" t="inlineStr">
        <is>
          <t>Control room HMI</t>
        </is>
      </c>
      <c r="D17" s="45" t="inlineStr">
        <is>
          <t>2</t>
        </is>
      </c>
      <c r="E17" s="63" t="inlineStr">
        <is>
          <t>Displayed process values are manipulated so that operators and the control centre act on a false picture.</t>
        </is>
      </c>
      <c r="F17" s="63" t="inlineStr">
        <is>
          <t>T0832 Manipulation of View; T0829 Loss of View</t>
        </is>
      </c>
      <c r="G17" s="63" t="inlineStr">
        <is>
          <t>HMI tag values are trusted without cross-check against an independent source.</t>
        </is>
      </c>
      <c r="H17" s="45" t="inlineStr">
        <is>
          <t>S-07</t>
        </is>
      </c>
      <c r="I17" s="63" t="inlineStr">
        <is>
          <t>Availability</t>
        </is>
      </c>
      <c r="J17" s="61" t="n">
        <v>3</v>
      </c>
      <c r="K17" s="61" t="n">
        <v>3</v>
      </c>
      <c r="L17" s="45">
        <f>INDEX(Scales!$B$24:$F$28,6-K17,J17)</f>
        <v/>
      </c>
      <c r="M17" s="63" t="inlineStr">
        <is>
          <t>Historian provides an independent record if compared.</t>
        </is>
      </c>
      <c r="N17" s="61" t="n">
        <v>3</v>
      </c>
      <c r="O17" s="45">
        <f>INDEX(Scales!$B$24:$F$28,6-N17,J17)</f>
        <v/>
      </c>
      <c r="P17" s="63">
        <f>IF(AND(J17=5,OR(I17="Safety",I17="Environment")),"YES - life-safety override",IF(OR(O17="E",O17="H"),"YES",IF(O17="M","Justify &amp; monitor","No")))</f>
        <v/>
      </c>
      <c r="Q17" s="62" t="n"/>
      <c r="R17" s="62" t="n"/>
      <c r="S17" s="63" t="inlineStr">
        <is>
          <t>Derivative consequence: its true rating is the rating of whatever it conceals.</t>
        </is>
      </c>
      <c r="T17" s="63" t="n"/>
      <c r="U17" s="64">
        <f>J17*N17</f>
        <v/>
      </c>
    </row>
    <row r="18" ht="57.75" customHeight="1" s="37">
      <c r="A18" s="45" t="inlineStr">
        <is>
          <t>R-14</t>
        </is>
      </c>
      <c r="B18" s="45" t="inlineStr">
        <is>
          <t>Z-04</t>
        </is>
      </c>
      <c r="C18" s="63" t="inlineStr">
        <is>
          <t>Alarm system</t>
        </is>
      </c>
      <c r="D18" s="45" t="inlineStr">
        <is>
          <t>2</t>
        </is>
      </c>
      <c r="E18" s="63" t="inlineStr">
        <is>
          <t>Alarms are suppressed or thresholds widened so that a developing condition is not annunciated.</t>
        </is>
      </c>
      <c r="F18" s="63" t="inlineStr">
        <is>
          <t>T0878 Alarm Suppression; T0838 Modify Alarm Settings</t>
        </is>
      </c>
      <c r="G18" s="63" t="inlineStr">
        <is>
          <t>Alarm configuration changes are not logged to an independent store.</t>
        </is>
      </c>
      <c r="H18" s="45" t="inlineStr">
        <is>
          <t>S-07</t>
        </is>
      </c>
      <c r="I18" s="63" t="inlineStr">
        <is>
          <t>Safety</t>
        </is>
      </c>
      <c r="J18" s="61" t="n">
        <v>4</v>
      </c>
      <c r="K18" s="61" t="n">
        <v>3</v>
      </c>
      <c r="L18" s="45">
        <f>INDEX(Scales!$B$24:$F$28,6-K18,J18)</f>
        <v/>
      </c>
      <c r="M18" s="63" t="inlineStr">
        <is>
          <t>Alarm history retained in the historian.</t>
        </is>
      </c>
      <c r="N18" s="61" t="n">
        <v>3</v>
      </c>
      <c r="O18" s="45">
        <f>INDEX(Scales!$B$24:$F$28,6-N18,J18)</f>
        <v/>
      </c>
      <c r="P18" s="63">
        <f>IF(AND(J18=5,OR(I18="Safety",I18="Environment")),"YES - life-safety override",IF(OR(O18="E",O18="H"),"YES",IF(O18="M","Justify &amp; monitor","No")))</f>
        <v/>
      </c>
      <c r="Q18" s="62" t="n"/>
      <c r="R18" s="62" t="n"/>
      <c r="S18" s="63" t="inlineStr">
        <is>
          <t>Alarm suppression is rarely the objective. It is what makes the objective survivable for the attacker.</t>
        </is>
      </c>
      <c r="T18" s="63" t="n"/>
      <c r="U18" s="64">
        <f>J18*N18</f>
        <v/>
      </c>
    </row>
    <row r="19" ht="57.75" customHeight="1" s="37">
      <c r="A19" s="45" t="inlineStr">
        <is>
          <t>R-15</t>
        </is>
      </c>
      <c r="B19" s="45" t="inlineStr">
        <is>
          <t>Z-04</t>
        </is>
      </c>
      <c r="C19" s="63" t="inlineStr">
        <is>
          <t>SCADA servers</t>
        </is>
      </c>
      <c r="D19" s="45" t="inlineStr">
        <is>
          <t>2</t>
        </is>
      </c>
      <c r="E19" s="63" t="inlineStr">
        <is>
          <t>SCADA is denied, removing remote supervision and control of an unattended station.</t>
        </is>
      </c>
      <c r="F19" s="63" t="inlineStr">
        <is>
          <t>T0814 Denial of Service; T0815 Denial of View</t>
        </is>
      </c>
      <c r="G19" s="63" t="inlineStr">
        <is>
          <t>Redundant pair shares a single switch stack and a single power supply path.</t>
        </is>
      </c>
      <c r="H19" s="45" t="inlineStr">
        <is>
          <t>S-05</t>
        </is>
      </c>
      <c r="I19" s="63" t="inlineStr">
        <is>
          <t>Availability</t>
        </is>
      </c>
      <c r="J19" s="61" t="n">
        <v>3</v>
      </c>
      <c r="K19" s="61" t="n">
        <v>3</v>
      </c>
      <c r="L19" s="45">
        <f>INDEX(Scales!$B$24:$F$28,6-K19,J19)</f>
        <v/>
      </c>
      <c r="M19" s="63" t="inlineStr">
        <is>
          <t>Redundant server pair. Local manual control available.</t>
        </is>
      </c>
      <c r="N19" s="61" t="n">
        <v>2</v>
      </c>
      <c r="O19" s="45">
        <f>INDEX(Scales!$B$24:$F$28,6-N19,J19)</f>
        <v/>
      </c>
      <c r="P19" s="63">
        <f>IF(AND(J19=5,OR(I19="Safety",I19="Environment")),"YES - life-safety override",IF(OR(O19="E",O19="H"),"YES",IF(O19="M","Justify &amp; monitor","No")))</f>
        <v/>
      </c>
      <c r="Q19" s="62" t="n"/>
      <c r="R19" s="62" t="n"/>
      <c r="S19" s="63" t="inlineStr">
        <is>
          <t>Local manual control is the real mitigation, and it depends on assumption A-10.</t>
        </is>
      </c>
      <c r="T19" s="63" t="n"/>
      <c r="U19" s="64">
        <f>J19*N19</f>
        <v/>
      </c>
    </row>
    <row r="20" ht="57.75" customHeight="1" s="37">
      <c r="A20" s="45" t="inlineStr">
        <is>
          <t>R-16</t>
        </is>
      </c>
      <c r="B20" s="45" t="inlineStr">
        <is>
          <t>Z-04</t>
        </is>
      </c>
      <c r="C20" s="63" t="inlineStr">
        <is>
          <t>GPS / NTP time source</t>
        </is>
      </c>
      <c r="D20" s="45" t="inlineStr">
        <is>
          <t>2</t>
        </is>
      </c>
      <c r="E20" s="63" t="inlineStr">
        <is>
          <t>GPS signal is spoofed, corrupting protection timestamps and sequence-of-event records.</t>
        </is>
      </c>
      <c r="F20" s="63" t="inlineStr">
        <is>
          <t>T0830 Adversary-in-the-Middle</t>
        </is>
      </c>
      <c r="G20" s="63" t="inlineStr">
        <is>
          <t>GPS is unauthenticated by nature. No holdover monitoring or sanity check against a second source.</t>
        </is>
      </c>
      <c r="H20" s="45" t="inlineStr">
        <is>
          <t>S-07</t>
        </is>
      </c>
      <c r="I20" s="63" t="inlineStr">
        <is>
          <t>Regulatory</t>
        </is>
      </c>
      <c r="J20" s="61" t="n">
        <v>3</v>
      </c>
      <c r="K20" s="61" t="n">
        <v>3</v>
      </c>
      <c r="L20" s="45">
        <f>INDEX(Scales!$B$24:$F$28,6-K20,J20)</f>
        <v/>
      </c>
      <c r="M20" s="63" t="inlineStr">
        <is>
          <t>None specific.</t>
        </is>
      </c>
      <c r="N20" s="61" t="n">
        <v>3</v>
      </c>
      <c r="O20" s="45">
        <f>INDEX(Scales!$B$24:$F$28,6-N20,J20)</f>
        <v/>
      </c>
      <c r="P20" s="63">
        <f>IF(AND(J20=5,OR(I20="Safety",I20="Environment")),"YES - life-safety override",IF(OR(O20="E",O20="H"),"YES",IF(O20="M","Justify &amp; monitor","No")))</f>
        <v/>
      </c>
      <c r="Q20" s="62" t="n"/>
      <c r="R20" s="62" t="n"/>
      <c r="S20" s="63" t="inlineStr">
        <is>
          <t>A small asset with consequence disproportionate to its cost. Post-event forensics become untrustworthy.</t>
        </is>
      </c>
      <c r="T20" s="63" t="n"/>
      <c r="U20" s="64">
        <f>J20*N20</f>
        <v/>
      </c>
    </row>
    <row r="21" ht="57.75" customHeight="1" s="37">
      <c r="A21" s="45" t="inlineStr">
        <is>
          <t>R-17</t>
        </is>
      </c>
      <c r="B21" s="45" t="inlineStr">
        <is>
          <t>Z-04</t>
        </is>
      </c>
      <c r="C21" s="63" t="inlineStr">
        <is>
          <t>Operator credentials</t>
        </is>
      </c>
      <c r="D21" s="45" t="inlineStr">
        <is>
          <t>2</t>
        </is>
      </c>
      <c r="E21" s="63" t="inlineStr">
        <is>
          <t>Credentials are harvested from an HMI session and reused to reach the unit control zone.</t>
        </is>
      </c>
      <c r="F21" s="63" t="inlineStr">
        <is>
          <t>T0859 Valid Accounts; T1694 Insecure Credentials</t>
        </is>
      </c>
      <c r="G21" s="63" t="inlineStr">
        <is>
          <t>Shared operator account in use. No MFA on the supervisory zone.</t>
        </is>
      </c>
      <c r="H21" s="45" t="inlineStr">
        <is>
          <t>S-05</t>
        </is>
      </c>
      <c r="I21" s="63" t="inlineStr">
        <is>
          <t>Availability</t>
        </is>
      </c>
      <c r="J21" s="61" t="n">
        <v>4</v>
      </c>
      <c r="K21" s="61" t="n">
        <v>3</v>
      </c>
      <c r="L21" s="45">
        <f>INDEX(Scales!$B$24:$F$28,6-K21,J21)</f>
        <v/>
      </c>
      <c r="M21" s="63" t="inlineStr">
        <is>
          <t>Physical access control to the control room.</t>
        </is>
      </c>
      <c r="N21" s="61" t="n">
        <v>3</v>
      </c>
      <c r="O21" s="45">
        <f>INDEX(Scales!$B$24:$F$28,6-N21,J21)</f>
        <v/>
      </c>
      <c r="P21" s="63">
        <f>IF(AND(J21=5,OR(I21="Safety",I21="Environment")),"YES - life-safety override",IF(OR(O21="E",O21="H"),"YES",IF(O21="M","Justify &amp; monitor","No")))</f>
        <v/>
      </c>
      <c r="Q21" s="62" t="n"/>
      <c r="R21" s="62" t="n"/>
      <c r="S21" s="63" t="inlineStr">
        <is>
          <t>ROUTE 2 — rated at direct consequence. Harvested operator credentials give operator-level authority: dispatch, setpoint and alarm actions the HMI is entitled to make. Reaching the governor programming interface is a further step with a further control in the way.</t>
        </is>
      </c>
      <c r="T21" s="63" t="inlineStr">
        <is>
          <t>S-01 via C-02 (operator credential reused against the governor programming interface)</t>
        </is>
      </c>
      <c r="U21" s="64">
        <f>J21*N21</f>
        <v/>
      </c>
    </row>
    <row r="22" ht="57.75" customHeight="1" s="37">
      <c r="A22" s="45" t="inlineStr">
        <is>
          <t>R-18</t>
        </is>
      </c>
      <c r="B22" s="45" t="inlineStr">
        <is>
          <t>Z-05a</t>
        </is>
      </c>
      <c r="C22" s="63" t="inlineStr">
        <is>
          <t>Engineering workstation + backup store</t>
        </is>
      </c>
      <c r="D22" s="45" t="inlineStr">
        <is>
          <t>3</t>
        </is>
      </c>
      <c r="E22" s="63" t="inlineStr">
        <is>
          <t>Ransomware or wiper encrypts controller logic, relay settings, SCADA configuration AND the backups, which are on the same site and reachable from the same host.</t>
        </is>
      </c>
      <c r="F22" s="63" t="inlineStr">
        <is>
          <t>T0809 Data Destruction; T0826 Loss of Availability</t>
        </is>
      </c>
      <c r="G22" s="63" t="inlineStr">
        <is>
          <t>Backups are on-site, on the same domain, reachable from the workstation that would be compromised. Restore has not been tested.</t>
        </is>
      </c>
      <c r="H22" s="45" t="inlineStr">
        <is>
          <t>S-09</t>
        </is>
      </c>
      <c r="I22" s="63" t="inlineStr">
        <is>
          <t>Availability</t>
        </is>
      </c>
      <c r="J22" s="61" t="n">
        <v>5</v>
      </c>
      <c r="K22" s="61" t="n">
        <v>4</v>
      </c>
      <c r="L22" s="45">
        <f>INDEX(Scales!$B$24:$F$28,6-K22,J22)</f>
        <v/>
      </c>
      <c r="M22" s="63" t="inlineStr">
        <is>
          <t>Daily backup job. Antivirus.</t>
        </is>
      </c>
      <c r="N22" s="61" t="n">
        <v>3</v>
      </c>
      <c r="O22" s="45">
        <f>INDEX(Scales!$B$24:$F$28,6-N22,J22)</f>
        <v/>
      </c>
      <c r="P22" s="63">
        <f>IF(AND(J22=5,OR(I22="Safety",I22="Environment")),"YES - life-safety override",IF(OR(O22="E",O22="H"),"YES",IF(O22="M","Justify &amp; monitor","No")))</f>
        <v/>
      </c>
      <c r="Q22" s="62" t="n"/>
      <c r="R22" s="62" t="n"/>
      <c r="S22" s="63" t="inlineStr">
        <is>
          <t>THE scenario that turns a recoverable incident into an unrecoverable one. Directly engages CIRMP s8C: recover and restore critical systems, maintain availability during restoration.</t>
        </is>
      </c>
      <c r="T22" s="63" t="n"/>
      <c r="U22" s="64">
        <f>J22*N22</f>
        <v/>
      </c>
    </row>
    <row r="23" ht="57.75" customHeight="1" s="37">
      <c r="A23" s="45" t="inlineStr">
        <is>
          <t>R-19</t>
        </is>
      </c>
      <c r="B23" s="45" t="inlineStr">
        <is>
          <t>Z-05a</t>
        </is>
      </c>
      <c r="C23" s="63" t="inlineStr">
        <is>
          <t>Controller project files</t>
        </is>
      </c>
      <c r="D23" s="45" t="inlineStr">
        <is>
          <t>3</t>
        </is>
      </c>
      <c r="E23" s="63" t="inlineStr">
        <is>
          <t>A project file is infected so that the next legitimate download carries modified logic into Z-01 or Z-02.</t>
        </is>
      </c>
      <c r="F23" s="63" t="inlineStr">
        <is>
          <t>T0873 Project File Infection; T0889 Modify Program</t>
        </is>
      </c>
      <c r="G23" s="63" t="inlineStr">
        <is>
          <t>Project files are not integrity-checked or signed. No golden-copy comparison before download.</t>
        </is>
      </c>
      <c r="H23" s="45" t="inlineStr">
        <is>
          <t>S-01</t>
        </is>
      </c>
      <c r="I23" s="63" t="inlineStr">
        <is>
          <t>Safety</t>
        </is>
      </c>
      <c r="J23" s="61" t="n">
        <v>5</v>
      </c>
      <c r="K23" s="61" t="n">
        <v>3</v>
      </c>
      <c r="L23" s="45">
        <f>INDEX(Scales!$B$24:$F$28,6-K23,J23)</f>
        <v/>
      </c>
      <c r="M23" s="63" t="inlineStr">
        <is>
          <t>Change management approval for downloads.</t>
        </is>
      </c>
      <c r="N23" s="61" t="n">
        <v>2</v>
      </c>
      <c r="O23" s="45">
        <f>INDEX(Scales!$B$24:$F$28,6-N23,J23)</f>
        <v/>
      </c>
      <c r="P23" s="63">
        <f>IF(AND(J23=5,OR(I23="Safety",I23="Environment")),"YES - life-safety override",IF(OR(O23="E",O23="H"),"YES",IF(O23="M","Justify &amp; monitor","No")))</f>
        <v/>
      </c>
      <c r="Q23" s="62" t="n"/>
      <c r="R23" s="62" t="n"/>
      <c r="S23" s="63" t="inlineStr">
        <is>
          <t>Approval governs the intent to download, not the content of what is downloaded.</t>
        </is>
      </c>
      <c r="T23" s="63" t="n"/>
      <c r="U23" s="64">
        <f>J23*N23</f>
        <v/>
      </c>
    </row>
    <row r="24" ht="57.75" customHeight="1" s="37">
      <c r="A24" s="45" t="inlineStr">
        <is>
          <t>R-20</t>
        </is>
      </c>
      <c r="B24" s="45" t="inlineStr">
        <is>
          <t>Z-05b</t>
        </is>
      </c>
      <c r="C24" s="63" t="inlineStr">
        <is>
          <t>Historian and documentation</t>
        </is>
      </c>
      <c r="D24" s="45" t="inlineStr">
        <is>
          <t>2</t>
        </is>
      </c>
      <c r="E24" s="63" t="inlineStr">
        <is>
          <t>Relay settings, network diagrams and process data are exfiltrated to support a later, targeted operation.</t>
        </is>
      </c>
      <c r="F24" s="63" t="inlineStr">
        <is>
          <t>T0882 Theft of Operational Information; T0811 Data from Information Repositories</t>
        </is>
      </c>
      <c r="G24" s="63" t="inlineStr">
        <is>
          <t>Engineering documentation is stored unencrypted on the local file share.</t>
        </is>
      </c>
      <c r="H24" s="45" t="inlineStr">
        <is>
          <t>S-09</t>
        </is>
      </c>
      <c r="I24" s="63" t="inlineStr">
        <is>
          <t>Regulatory</t>
        </is>
      </c>
      <c r="J24" s="61" t="n">
        <v>3</v>
      </c>
      <c r="K24" s="61" t="n">
        <v>4</v>
      </c>
      <c r="L24" s="45">
        <f>INDEX(Scales!$B$24:$F$28,6-K24,J24)</f>
        <v/>
      </c>
      <c r="M24" s="63" t="inlineStr">
        <is>
          <t>Domain authentication.</t>
        </is>
      </c>
      <c r="N24" s="61" t="n">
        <v>3</v>
      </c>
      <c r="O24" s="45">
        <f>INDEX(Scales!$B$24:$F$28,6-N24,J24)</f>
        <v/>
      </c>
      <c r="P24" s="63">
        <f>IF(AND(J24=5,OR(I24="Safety",I24="Environment")),"YES - life-safety override",IF(OR(O24="E",O24="H"),"YES",IF(O24="M","Justify &amp; monitor","No")))</f>
        <v/>
      </c>
      <c r="Q24" s="62" t="n"/>
      <c r="R24" s="62" t="n"/>
      <c r="S24" s="63" t="inlineStr">
        <is>
          <t>ROUTE 2 — already rated at direct consequence, and left unchanged. Low direct harm, high enabling value: it is the reconnaissance that makes R-05 and R-19 achievable. The enabling value is on 'Attack path'.</t>
        </is>
      </c>
      <c r="T24" s="63" t="inlineStr">
        <is>
          <t>R-05, R-19 — reconnaissance product; no direct escalation of its own</t>
        </is>
      </c>
      <c r="U24" s="64">
        <f>J24*N24</f>
        <v/>
      </c>
    </row>
    <row r="25" ht="57.75" customHeight="1" s="37">
      <c r="A25" s="45" t="inlineStr">
        <is>
          <t>R-21</t>
        </is>
      </c>
      <c r="B25" s="45" t="inlineStr">
        <is>
          <t>Z-05a</t>
        </is>
      </c>
      <c r="C25" s="63" t="inlineStr">
        <is>
          <t>Engineering toolchain</t>
        </is>
      </c>
      <c r="D25" s="45" t="inlineStr">
        <is>
          <t>3</t>
        </is>
      </c>
      <c r="E25" s="63" t="inlineStr">
        <is>
          <t>The workstation's legitimate programming capability is used to reprogram protection or unit control directly.</t>
        </is>
      </c>
      <c r="F25" s="63" t="inlineStr">
        <is>
          <t>T0843 Program Download; T0821 Modify Controller Tasking</t>
        </is>
      </c>
      <c r="G25" s="63" t="inlineStr">
        <is>
          <t>One workstation holds toolchains for governor, PLC and relays with no separation of duty.</t>
        </is>
      </c>
      <c r="H25" s="45" t="inlineStr">
        <is>
          <t>S-01</t>
        </is>
      </c>
      <c r="I25" s="63" t="inlineStr">
        <is>
          <t>Safety</t>
        </is>
      </c>
      <c r="J25" s="61" t="n">
        <v>5</v>
      </c>
      <c r="K25" s="61" t="n">
        <v>3</v>
      </c>
      <c r="L25" s="45">
        <f>INDEX(Scales!$B$24:$F$28,6-K25,J25)</f>
        <v/>
      </c>
      <c r="M25" s="63" t="inlineStr">
        <is>
          <t>Physical access control. Change management.</t>
        </is>
      </c>
      <c r="N25" s="61" t="n">
        <v>2</v>
      </c>
      <c r="O25" s="45">
        <f>INDEX(Scales!$B$24:$F$28,6-N25,J25)</f>
        <v/>
      </c>
      <c r="P25" s="63">
        <f>IF(AND(J25=5,OR(I25="Safety",I25="Environment")),"YES - life-safety override",IF(OR(O25="E",O25="H"),"YES",IF(O25="M","Justify &amp; monitor","No")))</f>
        <v/>
      </c>
      <c r="Q25" s="62" t="n"/>
      <c r="R25" s="62" t="n"/>
      <c r="S25" s="63" t="inlineStr">
        <is>
          <t>This is the asset that makes Z-05 rate above Z-04. Purdue level is not consequence.</t>
        </is>
      </c>
      <c r="T25" s="63" t="n"/>
      <c r="U25" s="64">
        <f>J25*N25</f>
        <v/>
      </c>
    </row>
    <row r="26" ht="57.75" customHeight="1" s="37">
      <c r="A26" s="45" t="inlineStr">
        <is>
          <t>R-22</t>
        </is>
      </c>
      <c r="B26" s="45" t="inlineStr">
        <is>
          <t>Z-06</t>
        </is>
      </c>
      <c r="C26" s="63" t="inlineStr">
        <is>
          <t>Intake RTU — physical</t>
        </is>
      </c>
      <c r="D26" s="45" t="inlineStr">
        <is>
          <t>3</t>
        </is>
      </c>
      <c r="E26" s="63" t="inlineStr">
        <is>
          <t>An adversary reaches the intake structure on foot and connects directly to the RTU, commanding gates and falsifying level reporting.</t>
        </is>
      </c>
      <c r="F26" s="63" t="inlineStr">
        <is>
          <t>T0864 Transient Cyber Asset; T0831 Manipulation of Control</t>
        </is>
      </c>
      <c r="G26" s="63" t="inlineStr">
        <is>
          <t>Physical protection is a fence and a padlock, 4.2 km from the powerhouse, with no intrusion detection and no camera.</t>
        </is>
      </c>
      <c r="H26" s="45" t="inlineStr">
        <is>
          <t>S-03</t>
        </is>
      </c>
      <c r="I26" s="63" t="inlineStr">
        <is>
          <t>Environment</t>
        </is>
      </c>
      <c r="J26" s="61" t="n">
        <v>5</v>
      </c>
      <c r="K26" s="61" t="n">
        <v>4</v>
      </c>
      <c r="L26" s="45">
        <f>INDEX(Scales!$B$24:$F$28,6-K26,J26)</f>
        <v/>
      </c>
      <c r="M26" s="63" t="inlineStr">
        <is>
          <t>None effective. Assumption A-03 states access is uncontrolled.</t>
        </is>
      </c>
      <c r="N26" s="61" t="n">
        <v>4</v>
      </c>
      <c r="O26" s="45">
        <f>INDEX(Scales!$B$24:$F$28,6-N26,J26)</f>
        <v/>
      </c>
      <c r="P26" s="63">
        <f>IF(AND(J26=5,OR(I26="Safety",I26="Environment")),"YES - life-safety override",IF(OR(O26="E",O26="H"),"YES",IF(O26="M","Justify &amp; monitor","No")))</f>
        <v/>
      </c>
      <c r="Q26" s="62" t="n"/>
      <c r="R26" s="62" t="n"/>
      <c r="S26" s="63" t="inlineStr">
        <is>
          <t>THE HIGHEST RESIDUAL RISK IN THIS ASSESSMENT. No network control mitigates an adversary standing at the terminal.</t>
        </is>
      </c>
      <c r="T26" s="63" t="n"/>
      <c r="U26" s="64">
        <f>J26*N26</f>
        <v/>
      </c>
    </row>
    <row r="27" ht="57.75" customHeight="1" s="37">
      <c r="A27" s="45" t="inlineStr">
        <is>
          <t>R-23</t>
        </is>
      </c>
      <c r="B27" s="45" t="inlineStr">
        <is>
          <t>Z-06</t>
        </is>
      </c>
      <c r="C27" s="63" t="inlineStr">
        <is>
          <t>Radio link</t>
        </is>
      </c>
      <c r="D27" s="45" t="inlineStr">
        <is>
          <t>3</t>
        </is>
      </c>
      <c r="E27" s="63" t="inlineStr">
        <is>
          <t>A rogue master injects DNP3 commands over the licensed radio link to move gates.</t>
        </is>
      </c>
      <c r="F27" s="63" t="inlineStr">
        <is>
          <t>T0848 Rogue Master; T0860 Wireless Compromise; T1692 Unauthorized Message</t>
        </is>
      </c>
      <c r="G27" s="63" t="inlineStr">
        <is>
          <t>DNP3 without Secure Authentication. Link encryption status unconfirmed.</t>
        </is>
      </c>
      <c r="H27" s="45" t="inlineStr">
        <is>
          <t>S-03</t>
        </is>
      </c>
      <c r="I27" s="63" t="inlineStr">
        <is>
          <t>Environment</t>
        </is>
      </c>
      <c r="J27" s="61" t="n">
        <v>5</v>
      </c>
      <c r="K27" s="61" t="n">
        <v>3</v>
      </c>
      <c r="L27" s="45">
        <f>INDEX(Scales!$B$24:$F$28,6-K27,J27)</f>
        <v/>
      </c>
      <c r="M27" s="63" t="inlineStr">
        <is>
          <t>Licensed narrowband radio, non-standard equipment.</t>
        </is>
      </c>
      <c r="N27" s="61" t="n">
        <v>3</v>
      </c>
      <c r="O27" s="45">
        <f>INDEX(Scales!$B$24:$F$28,6-N27,J27)</f>
        <v/>
      </c>
      <c r="P27" s="63">
        <f>IF(AND(J27=5,OR(I27="Safety",I27="Environment")),"YES - life-safety override",IF(OR(O27="E",O27="H"),"YES",IF(O27="M","Justify &amp; monitor","No")))</f>
        <v/>
      </c>
      <c r="Q27" s="62" t="n"/>
      <c r="R27" s="62" t="n"/>
      <c r="S27" s="63" t="inlineStr">
        <is>
          <t>OPEN: does the RTU support DNP3 Secure Authentication? An SL-C question that decides whether C-06's SL-T 3 is achievable or aspirational.</t>
        </is>
      </c>
      <c r="T27" s="63" t="n"/>
      <c r="U27" s="64">
        <f>J27*N27</f>
        <v/>
      </c>
    </row>
    <row r="28" ht="57.75" customHeight="1" s="37">
      <c r="A28" s="45" t="inlineStr">
        <is>
          <t>R-24</t>
        </is>
      </c>
      <c r="B28" s="45" t="inlineStr">
        <is>
          <t>Z-06</t>
        </is>
      </c>
      <c r="C28" s="63" t="inlineStr">
        <is>
          <t>Level instrumentation</t>
        </is>
      </c>
      <c r="D28" s="45" t="inlineStr">
        <is>
          <t>3</t>
        </is>
      </c>
      <c r="E28" s="63" t="inlineStr">
        <is>
          <t>Headwater and tailwater telemetry is falsified so that every automated and human response is wrong by design.</t>
        </is>
      </c>
      <c r="F28" s="63" t="inlineStr">
        <is>
          <t>T0832 Manipulation of View; T1692 Unauthorized Message</t>
        </is>
      </c>
      <c r="G28" s="63" t="inlineStr">
        <is>
          <t>No independent second source for level. Automation and operators share one input.</t>
        </is>
      </c>
      <c r="H28" s="45" t="inlineStr">
        <is>
          <t>S-03</t>
        </is>
      </c>
      <c r="I28" s="63" t="inlineStr">
        <is>
          <t>Environment</t>
        </is>
      </c>
      <c r="J28" s="61" t="n">
        <v>5</v>
      </c>
      <c r="K28" s="61" t="n">
        <v>3</v>
      </c>
      <c r="L28" s="45">
        <f>INDEX(Scales!$B$24:$F$28,6-K28,J28)</f>
        <v/>
      </c>
      <c r="M28" s="63" t="inlineStr">
        <is>
          <t>Operator familiarity with seasonal norms.</t>
        </is>
      </c>
      <c r="N28" s="61" t="n">
        <v>3</v>
      </c>
      <c r="O28" s="45">
        <f>INDEX(Scales!$B$24:$F$28,6-N28,J28)</f>
        <v/>
      </c>
      <c r="P28" s="63">
        <f>IF(AND(J28=5,OR(I28="Safety",I28="Environment")),"YES - life-safety override",IF(OR(O28="E",O28="H"),"YES",IF(O28="M","Justify &amp; monitor","No")))</f>
        <v/>
      </c>
      <c r="Q28" s="62" t="n"/>
      <c r="R28" s="62" t="n"/>
      <c r="S28" s="63" t="inlineStr">
        <is>
          <t>The falsification variant is more dangerous than direct gate command, because it corrupts the response as well as the state.</t>
        </is>
      </c>
      <c r="T28" s="63" t="n"/>
      <c r="U28" s="64">
        <f>J28*N28</f>
        <v/>
      </c>
    </row>
    <row r="29" ht="57.75" customHeight="1" s="37">
      <c r="A29" s="45" t="inlineStr">
        <is>
          <t>R-25</t>
        </is>
      </c>
      <c r="B29" s="45" t="inlineStr">
        <is>
          <t>Z-06</t>
        </is>
      </c>
      <c r="C29" s="63" t="inlineStr">
        <is>
          <t>Cellular backup path</t>
        </is>
      </c>
      <c r="D29" s="45" t="inlineStr">
        <is>
          <t>3</t>
        </is>
      </c>
      <c r="E29" s="63" t="inlineStr">
        <is>
          <t>The standby cellular path is discovered and used as an always-available route into the intake zone.</t>
        </is>
      </c>
      <c r="F29" s="63" t="inlineStr">
        <is>
          <t>T0883 Internet Accessible Device; T0822 External Remote Services</t>
        </is>
      </c>
      <c r="G29" s="63" t="inlineStr">
        <is>
          <t>APN-based access with no per-device certificate. Path is standby but permanently connected.</t>
        </is>
      </c>
      <c r="H29" s="45" t="inlineStr">
        <is>
          <t>S-03</t>
        </is>
      </c>
      <c r="I29" s="63" t="inlineStr">
        <is>
          <t>Environment</t>
        </is>
      </c>
      <c r="J29" s="61" t="n">
        <v>5</v>
      </c>
      <c r="K29" s="61" t="n">
        <v>3</v>
      </c>
      <c r="L29" s="45">
        <f>INDEX(Scales!$B$24:$F$28,6-K29,J29)</f>
        <v/>
      </c>
      <c r="M29" s="63" t="inlineStr">
        <is>
          <t>Private APN.</t>
        </is>
      </c>
      <c r="N29" s="61" t="n">
        <v>3</v>
      </c>
      <c r="O29" s="45">
        <f>INDEX(Scales!$B$24:$F$28,6-N29,J29)</f>
        <v/>
      </c>
      <c r="P29" s="63">
        <f>IF(AND(J29=5,OR(I29="Safety",I29="Environment")),"YES - life-safety override",IF(OR(O29="E",O29="H"),"YES",IF(O29="M","Justify &amp; monitor","No")))</f>
        <v/>
      </c>
      <c r="Q29" s="62" t="n"/>
      <c r="R29" s="62" t="n"/>
      <c r="S29" s="63" t="inlineStr">
        <is>
          <t>A standby path that is permanently connected is not a standby path. It is a second front door.</t>
        </is>
      </c>
      <c r="T29" s="63" t="n"/>
      <c r="U29" s="64">
        <f>J29*N29</f>
        <v/>
      </c>
    </row>
    <row r="30" ht="57.75" customHeight="1" s="37">
      <c r="A30" s="45" t="inlineStr">
        <is>
          <t>R-26</t>
        </is>
      </c>
      <c r="B30" s="45" t="inlineStr">
        <is>
          <t>Z-07</t>
        </is>
      </c>
      <c r="C30" s="63" t="inlineStr">
        <is>
          <t>Maintenance laptops</t>
        </is>
      </c>
      <c r="D30" s="45" t="inlineStr">
        <is>
          <t>3</t>
        </is>
      </c>
      <c r="E30" s="63" t="inlineStr">
        <is>
          <t>A contractor laptop that was on an uncontrolled network is connected directly to a control zone.</t>
        </is>
      </c>
      <c r="F30" s="63" t="inlineStr">
        <is>
          <t>T0864 Transient Cyber Asset; T0867 Lateral Tool Transfer</t>
        </is>
      </c>
      <c r="G30" s="63" t="inlineStr">
        <is>
          <t>No pre-connection scanning, no dedicated site laptops, no port control on control-zone switches.</t>
        </is>
      </c>
      <c r="H30" s="45" t="inlineStr">
        <is>
          <t>S-05</t>
        </is>
      </c>
      <c r="I30" s="63" t="inlineStr">
        <is>
          <t>Availability</t>
        </is>
      </c>
      <c r="J30" s="61" t="n">
        <v>4</v>
      </c>
      <c r="K30" s="61" t="n">
        <v>4</v>
      </c>
      <c r="L30" s="45">
        <f>INDEX(Scales!$B$24:$F$28,6-K30,J30)</f>
        <v/>
      </c>
      <c r="M30" s="63" t="inlineStr">
        <is>
          <t>Site induction. Verbal policy.</t>
        </is>
      </c>
      <c r="N30" s="61" t="n">
        <v>3</v>
      </c>
      <c r="O30" s="45">
        <f>INDEX(Scales!$B$24:$F$28,6-N30,J30)</f>
        <v/>
      </c>
      <c r="P30" s="63">
        <f>IF(AND(J30=5,OR(I30="Safety",I30="Environment")),"YES - life-safety override",IF(OR(O30="E",O30="H"),"YES",IF(O30="M","Justify &amp; monitor","No")))</f>
        <v/>
      </c>
      <c r="Q30" s="62" t="n"/>
      <c r="R30" s="62" t="n"/>
      <c r="S30" s="63" t="inlineStr">
        <is>
          <t>ROUTE 2 — rated at direct consequence. A contaminated laptop inside a control zone runs code on control hosts: commodity malware, lost view, forced outage. Turning that into machine damage requires deliberate process manipulation, which is the chain on 'Attack path'.</t>
        </is>
      </c>
      <c r="T30" s="63" t="inlineStr">
        <is>
          <t>S-01 / S-02 via deliberate process manipulation once resident in Z-02 or Z-03</t>
        </is>
      </c>
      <c r="U30" s="64">
        <f>J30*N30</f>
        <v/>
      </c>
    </row>
    <row r="31" ht="57.75" customHeight="1" s="37">
      <c r="A31" s="45" t="inlineStr">
        <is>
          <t>R-27</t>
        </is>
      </c>
      <c r="B31" s="45" t="inlineStr">
        <is>
          <t>Z-07</t>
        </is>
      </c>
      <c r="C31" s="63" t="inlineStr">
        <is>
          <t>Removable media</t>
        </is>
      </c>
      <c r="D31" s="45" t="inlineStr">
        <is>
          <t>3</t>
        </is>
      </c>
      <c r="E31" s="63" t="inlineStr">
        <is>
          <t>Malware is introduced on USB media used to transfer firmware or configuration backups.</t>
        </is>
      </c>
      <c r="F31" s="63" t="inlineStr">
        <is>
          <t>T0847 Replication Through Removable Media; T0895 Autorun Image</t>
        </is>
      </c>
      <c r="G31" s="63" t="inlineStr">
        <is>
          <t>No media sanitisation station. USB ports unrestricted on the engineering workstation.</t>
        </is>
      </c>
      <c r="H31" s="45" t="inlineStr">
        <is>
          <t>S-09</t>
        </is>
      </c>
      <c r="I31" s="63" t="inlineStr">
        <is>
          <t>Availability</t>
        </is>
      </c>
      <c r="J31" s="61" t="n">
        <v>5</v>
      </c>
      <c r="K31" s="61" t="n">
        <v>3</v>
      </c>
      <c r="L31" s="45">
        <f>INDEX(Scales!$B$24:$F$28,6-K31,J31)</f>
        <v/>
      </c>
      <c r="M31" s="63" t="inlineStr">
        <is>
          <t>Antivirus on the workstation.</t>
        </is>
      </c>
      <c r="N31" s="61" t="n">
        <v>3</v>
      </c>
      <c r="O31" s="45">
        <f>INDEX(Scales!$B$24:$F$28,6-N31,J31)</f>
        <v/>
      </c>
      <c r="P31" s="63">
        <f>IF(AND(J31=5,OR(I31="Safety",I31="Environment")),"YES - life-safety override",IF(OR(O31="E",O31="H"),"YES",IF(O31="M","Justify &amp; monitor","No")))</f>
        <v/>
      </c>
      <c r="Q31" s="62" t="n"/>
      <c r="R31" s="62" t="n"/>
      <c r="S31" s="63" t="inlineStr">
        <is>
          <t>The access point with no network control at all. It is how Stuxnet crossed an air gap.</t>
        </is>
      </c>
      <c r="T31" s="63" t="n"/>
      <c r="U31" s="64">
        <f>J31*N31</f>
        <v/>
      </c>
    </row>
    <row r="32" ht="57.75" customHeight="1" s="37">
      <c r="A32" s="45" t="inlineStr">
        <is>
          <t>R-28</t>
        </is>
      </c>
      <c r="B32" s="45" t="inlineStr">
        <is>
          <t>Z-08</t>
        </is>
      </c>
      <c r="C32" s="63" t="inlineStr">
        <is>
          <t>Remote access jump host</t>
        </is>
      </c>
      <c r="D32" s="45" t="inlineStr">
        <is>
          <t>3</t>
        </is>
      </c>
      <c r="E32" s="63" t="inlineStr">
        <is>
          <t>The jump host is compromised and used as the staging point for access to every zone it can reach.</t>
        </is>
      </c>
      <c r="F32" s="63" t="inlineStr">
        <is>
          <t>T0822 External Remote Services; T0866 Exploitation of Remote Services</t>
        </is>
      </c>
      <c r="G32" s="63" t="inlineStr">
        <is>
          <t>Jump host is internet-reachable by design. Session recording not enabled.</t>
        </is>
      </c>
      <c r="H32" s="45" t="inlineStr">
        <is>
          <t>S-10</t>
        </is>
      </c>
      <c r="I32" s="63" t="inlineStr">
        <is>
          <t>Safety</t>
        </is>
      </c>
      <c r="J32" s="61" t="n">
        <v>5</v>
      </c>
      <c r="K32" s="61" t="n">
        <v>3</v>
      </c>
      <c r="L32" s="45">
        <f>INDEX(Scales!$B$24:$F$28,6-K32,J32)</f>
        <v/>
      </c>
      <c r="M32" s="63" t="inlineStr">
        <is>
          <t>DMZ firewall. MFA on the jump host.</t>
        </is>
      </c>
      <c r="N32" s="61" t="n">
        <v>2</v>
      </c>
      <c r="O32" s="45">
        <f>INDEX(Scales!$B$24:$F$28,6-N32,J32)</f>
        <v/>
      </c>
      <c r="P32" s="63">
        <f>IF(AND(J32=5,OR(I32="Safety",I32="Environment")),"YES - life-safety override",IF(OR(O32="E",O32="H"),"YES",IF(O32="M","Justify &amp; monitor","No")))</f>
        <v/>
      </c>
      <c r="Q32" s="62" t="n"/>
      <c r="R32" s="62" t="n"/>
      <c r="S32" s="63" t="inlineStr">
        <is>
          <t>The most valuable asset in the SUC to an external adversary, because it is the one designed to be reachable.</t>
        </is>
      </c>
      <c r="T32" s="63" t="n"/>
      <c r="U32" s="64">
        <f>J32*N32</f>
        <v/>
      </c>
    </row>
    <row r="33" ht="57.75" customHeight="1" s="37">
      <c r="A33" s="45" t="inlineStr">
        <is>
          <t>R-29</t>
        </is>
      </c>
      <c r="B33" s="45" t="inlineStr">
        <is>
          <t>Z-08</t>
        </is>
      </c>
      <c r="C33" s="63" t="inlineStr">
        <is>
          <t>DMZ services</t>
        </is>
      </c>
      <c r="D33" s="45" t="inlineStr">
        <is>
          <t>3</t>
        </is>
      </c>
      <c r="E33" s="63" t="inlineStr">
        <is>
          <t>An unpatched internet-facing DMZ service is exploited to obtain a foothold.</t>
        </is>
      </c>
      <c r="F33" s="63" t="inlineStr">
        <is>
          <t>T0819 Exploit Public-Facing Application; T0883 Internet Accessible Device</t>
        </is>
      </c>
      <c r="G33" s="63" t="inlineStr">
        <is>
          <t>Patch cadence on DMZ hosts is quarterly, aligned to plant outage rather than to threat.</t>
        </is>
      </c>
      <c r="H33" s="45" t="inlineStr">
        <is>
          <t>S-10</t>
        </is>
      </c>
      <c r="I33" s="63" t="inlineStr">
        <is>
          <t>Availability</t>
        </is>
      </c>
      <c r="J33" s="61" t="n">
        <v>5</v>
      </c>
      <c r="K33" s="61" t="n">
        <v>3</v>
      </c>
      <c r="L33" s="45">
        <f>INDEX(Scales!$B$24:$F$28,6-K33,J33)</f>
        <v/>
      </c>
      <c r="M33" s="63" t="inlineStr">
        <is>
          <t>DMZ firewall. Quarterly patching.</t>
        </is>
      </c>
      <c r="N33" s="61" t="n">
        <v>3</v>
      </c>
      <c r="O33" s="45">
        <f>INDEX(Scales!$B$24:$F$28,6-N33,J33)</f>
        <v/>
      </c>
      <c r="P33" s="63">
        <f>IF(AND(J33=5,OR(I33="Safety",I33="Environment")),"YES - life-safety override",IF(OR(O33="E",O33="H"),"YES",IF(O33="M","Justify &amp; monitor","No")))</f>
        <v/>
      </c>
      <c r="Q33" s="62" t="n"/>
      <c r="R33" s="62" t="n"/>
      <c r="S33" s="63" t="inlineStr">
        <is>
          <t>Patch cadence tied to outage windows is normal in OT and is exactly why compensating controls carry the load.</t>
        </is>
      </c>
      <c r="T33" s="63" t="n"/>
      <c r="U33" s="64">
        <f>J33*N33</f>
        <v/>
      </c>
    </row>
    <row r="34" ht="57.75" customHeight="1" s="37">
      <c r="A34" s="45" t="inlineStr">
        <is>
          <t>R-30</t>
        </is>
      </c>
      <c r="B34" s="45" t="inlineStr">
        <is>
          <t>Z-08</t>
        </is>
      </c>
      <c r="C34" s="63" t="inlineStr">
        <is>
          <t>Firewall rule set</t>
        </is>
      </c>
      <c r="D34" s="45" t="inlineStr">
        <is>
          <t>3</t>
        </is>
      </c>
      <c r="E34" s="63" t="inlineStr">
        <is>
          <t>Rule drift over time opens a path that the as-designed architecture does not contain.</t>
        </is>
      </c>
      <c r="F34" s="63" t="inlineStr">
        <is>
          <t>T0846 Remote System Discovery; T0867 Lateral Tool Transfer</t>
        </is>
      </c>
      <c r="G34" s="63" t="inlineStr">
        <is>
          <t>No automated comparison of implemented flows against the conduit register.</t>
        </is>
      </c>
      <c r="H34" s="45" t="inlineStr">
        <is>
          <t>S-10</t>
        </is>
      </c>
      <c r="I34" s="63" t="inlineStr">
        <is>
          <t>Availability</t>
        </is>
      </c>
      <c r="J34" s="61" t="n">
        <v>5</v>
      </c>
      <c r="K34" s="61" t="n">
        <v>4</v>
      </c>
      <c r="L34" s="45">
        <f>INDEX(Scales!$B$24:$F$28,6-K34,J34)</f>
        <v/>
      </c>
      <c r="M34" s="63" t="inlineStr">
        <is>
          <t>Annual firewall review.</t>
        </is>
      </c>
      <c r="N34" s="61" t="n">
        <v>3</v>
      </c>
      <c r="O34" s="45">
        <f>INDEX(Scales!$B$24:$F$28,6-N34,J34)</f>
        <v/>
      </c>
      <c r="P34" s="63">
        <f>IF(AND(J34=5,OR(I34="Safety",I34="Environment")),"YES - life-safety override",IF(OR(O34="E",O34="H"),"YES",IF(O34="M","Justify &amp; monitor","No")))</f>
        <v/>
      </c>
      <c r="Q34" s="62" t="n"/>
      <c r="R34" s="62" t="n"/>
      <c r="S34" s="63" t="inlineStr">
        <is>
          <t>An annual review against a document nobody updated is not a control. This is what an automated conduit-drift check exists to catch.</t>
        </is>
      </c>
      <c r="T34" s="63" t="n"/>
      <c r="U34" s="64">
        <f>J34*N34</f>
        <v/>
      </c>
    </row>
    <row r="35" ht="57.75" customHeight="1" s="37">
      <c r="A35" s="45" t="inlineStr">
        <is>
          <t>R-31</t>
        </is>
      </c>
      <c r="B35" s="45" t="inlineStr">
        <is>
          <t>C-09</t>
        </is>
      </c>
      <c r="C35" s="63" t="inlineStr">
        <is>
          <t>Vendor remote access — supply chain</t>
        </is>
      </c>
      <c r="D35" s="45" t="inlineStr">
        <is>
          <t>3</t>
        </is>
      </c>
      <c r="E35" s="63" t="inlineStr">
        <is>
          <t>An OEM's own environment is compromised and the trusted inbound path is used to reach the plant. The access is legitimate, credentialed, and looks exactly like maintenance.</t>
        </is>
      </c>
      <c r="F35" s="63" t="inlineStr">
        <is>
          <t>T0862 Supply Chain Compromise; T0822 External Remote Services</t>
        </is>
      </c>
      <c r="G35" s="63" t="inlineStr">
        <is>
          <t>Vendor security posture is not assessed. No 62443-2-4 obligations in the service contract.</t>
        </is>
      </c>
      <c r="H35" s="45" t="inlineStr">
        <is>
          <t>S-10</t>
        </is>
      </c>
      <c r="I35" s="63" t="inlineStr">
        <is>
          <t>Safety</t>
        </is>
      </c>
      <c r="J35" s="61" t="n">
        <v>5</v>
      </c>
      <c r="K35" s="61" t="n">
        <v>3</v>
      </c>
      <c r="L35" s="45">
        <f>INDEX(Scales!$B$24:$F$28,6-K35,J35)</f>
        <v/>
      </c>
      <c r="M35" s="63" t="inlineStr">
        <is>
          <t>Access on request only. DMZ termination.</t>
        </is>
      </c>
      <c r="N35" s="61" t="n">
        <v>3</v>
      </c>
      <c r="O35" s="45">
        <f>INDEX(Scales!$B$24:$F$28,6-N35,J35)</f>
        <v/>
      </c>
      <c r="P35" s="63">
        <f>IF(AND(J35=5,OR(I35="Safety",I35="Environment")),"YES - life-safety override",IF(OR(O35="E",O35="H"),"YES",IF(O35="M","Justify &amp; monitor","No")))</f>
        <v/>
      </c>
      <c r="Q35" s="62" t="n"/>
      <c r="R35" s="62" t="n"/>
      <c r="S35" s="63" t="inlineStr">
        <is>
          <t>The hardest scenario in this register to detect, because it is indistinguishable from authorised work. Drives the 62443-2-4 requirements in the CRS.</t>
        </is>
      </c>
      <c r="T35" s="63" t="n"/>
      <c r="U35" s="64">
        <f>J35*N35</f>
        <v/>
      </c>
    </row>
    <row r="36" ht="57.75" customHeight="1" s="37">
      <c r="A36" s="45" t="inlineStr">
        <is>
          <t>R-32</t>
        </is>
      </c>
      <c r="B36" s="45" t="inlineStr">
        <is>
          <t>C-09</t>
        </is>
      </c>
      <c r="C36" s="63" t="inlineStr">
        <is>
          <t>Vendor remote access — credentials</t>
        </is>
      </c>
      <c r="D36" s="45" t="inlineStr">
        <is>
          <t>3</t>
        </is>
      </c>
      <c r="E36" s="63" t="inlineStr">
        <is>
          <t>A shared vendor account is reused or leaked and the path is entered without the vendor's knowledge.</t>
        </is>
      </c>
      <c r="F36" s="63" t="inlineStr">
        <is>
          <t>T1694 Insecure Credentials; T0859 Valid Accounts</t>
        </is>
      </c>
      <c r="G36" s="63" t="inlineStr">
        <is>
          <t>Shared per-vendor accounts rather than per-individual. No just-in-time approval. No session recording.</t>
        </is>
      </c>
      <c r="H36" s="45" t="inlineStr">
        <is>
          <t>S-10</t>
        </is>
      </c>
      <c r="I36" s="63" t="inlineStr">
        <is>
          <t>Safety</t>
        </is>
      </c>
      <c r="J36" s="61" t="n">
        <v>5</v>
      </c>
      <c r="K36" s="61" t="n">
        <v>4</v>
      </c>
      <c r="L36" s="45">
        <f>INDEX(Scales!$B$24:$F$28,6-K36,J36)</f>
        <v/>
      </c>
      <c r="M36" s="63" t="inlineStr">
        <is>
          <t>Firewall rule permits the vendor source range only.</t>
        </is>
      </c>
      <c r="N36" s="61" t="n">
        <v>3</v>
      </c>
      <c r="O36" s="45">
        <f>INDEX(Scales!$B$24:$F$28,6-N36,J36)</f>
        <v/>
      </c>
      <c r="P36" s="63">
        <f>IF(AND(J36=5,OR(I36="Safety",I36="Environment")),"YES - life-safety override",IF(OR(O36="E",O36="H"),"YES",IF(O36="M","Justify &amp; monitor","No")))</f>
        <v/>
      </c>
      <c r="Q36" s="62" t="n"/>
      <c r="R36" s="62" t="n"/>
      <c r="S36" s="63" t="inlineStr">
        <is>
          <t>Oldsmar was not sophisticated: shared credentials and an operator who happened to be watching the screen. The failure was architectural, not technical. CIRMP s8B now requires phishing-resistant MFA here.</t>
        </is>
      </c>
      <c r="T36" s="63" t="n"/>
      <c r="U36" s="64">
        <f>J36*N36</f>
        <v/>
      </c>
    </row>
    <row r="37" ht="57.75" customHeight="1" s="37">
      <c r="A37" s="45" t="inlineStr">
        <is>
          <t>R-33</t>
        </is>
      </c>
      <c r="B37" s="45" t="inlineStr">
        <is>
          <t>C-06</t>
        </is>
      </c>
      <c r="C37" s="63" t="inlineStr">
        <is>
          <t>Intake conduit</t>
        </is>
      </c>
      <c r="D37" s="45" t="inlineStr">
        <is>
          <t>3</t>
        </is>
      </c>
      <c r="E37" s="63" t="inlineStr">
        <is>
          <t>The conduit itself is the attack surface: unauthenticated DNP3 over a radio link whose far end is physically accessible.</t>
        </is>
      </c>
      <c r="F37" s="63" t="inlineStr">
        <is>
          <t>T1692 Unauthorized Message; T0848 Rogue Master</t>
        </is>
      </c>
      <c r="G37" s="63" t="inlineStr">
        <is>
          <t>No cryptographic authentication on the link. Commands are trusted on receipt rather than validated against independently sensed conditions.</t>
        </is>
      </c>
      <c r="H37" s="45" t="inlineStr">
        <is>
          <t>S-03</t>
        </is>
      </c>
      <c r="I37" s="63" t="inlineStr">
        <is>
          <t>Environment</t>
        </is>
      </c>
      <c r="J37" s="61" t="n">
        <v>5</v>
      </c>
      <c r="K37" s="61" t="n">
        <v>3</v>
      </c>
      <c r="L37" s="45">
        <f>INDEX(Scales!$B$24:$F$28,6-K37,J37)</f>
        <v/>
      </c>
      <c r="M37" s="63" t="inlineStr">
        <is>
          <t>Licensed spectrum. Physical remoteness (not a control).</t>
        </is>
      </c>
      <c r="N37" s="61" t="n">
        <v>3</v>
      </c>
      <c r="O37" s="45">
        <f>INDEX(Scales!$B$24:$F$28,6-N37,J37)</f>
        <v/>
      </c>
      <c r="P37" s="63">
        <f>IF(AND(J37=5,OR(I37="Safety",I37="Environment")),"YES - life-safety override",IF(OR(O37="E",O37="H"),"YES",IF(O37="M","Justify &amp; monitor","No")))</f>
        <v/>
      </c>
      <c r="Q37" s="62" t="n"/>
      <c r="R37" s="62" t="n"/>
      <c r="S37" s="63" t="inlineStr">
        <is>
          <t>Because physical presence at the far end is assumed, the conduit must carry the security burden, not the endpoint. Command validation belongs at the receiving end.</t>
        </is>
      </c>
      <c r="T37" s="63" t="n"/>
      <c r="U37" s="64">
        <f>J37*N37</f>
        <v/>
      </c>
    </row>
    <row r="38" ht="57.75" customHeight="1" s="37">
      <c r="A38" s="45" t="inlineStr">
        <is>
          <t>R-34</t>
        </is>
      </c>
      <c r="B38" s="45" t="inlineStr">
        <is>
          <t>C-07</t>
        </is>
      </c>
      <c r="C38" s="63" t="inlineStr">
        <is>
          <t>Market operator telemetry</t>
        </is>
      </c>
      <c r="D38" s="45" t="inlineStr">
        <is>
          <t>3</t>
        </is>
      </c>
      <c r="E38" s="63" t="inlineStr">
        <is>
          <t>Telemetry to the market operator is falsified, misrepresenting availability or capability.</t>
        </is>
      </c>
      <c r="F38" s="63" t="inlineStr">
        <is>
          <t>T0832 Manipulation of View; T1692 Unauthorized Message</t>
        </is>
      </c>
      <c r="G38" s="63" t="inlineStr">
        <is>
          <t>Protocol gateway trusts the internal source without integrity checking.</t>
        </is>
      </c>
      <c r="H38" s="45" t="inlineStr">
        <is>
          <t>S-06</t>
        </is>
      </c>
      <c r="I38" s="63" t="inlineStr">
        <is>
          <t>Regulatory</t>
        </is>
      </c>
      <c r="J38" s="61" t="n">
        <v>4</v>
      </c>
      <c r="K38" s="61" t="n">
        <v>2</v>
      </c>
      <c r="L38" s="45">
        <f>INDEX(Scales!$B$24:$F$28,6-K38,J38)</f>
        <v/>
      </c>
      <c r="M38" s="63" t="inlineStr">
        <is>
          <t>Dedicated market network. Gateway in the DMZ.</t>
        </is>
      </c>
      <c r="N38" s="61" t="n">
        <v>2</v>
      </c>
      <c r="O38" s="45">
        <f>INDEX(Scales!$B$24:$F$28,6-N38,J38)</f>
        <v/>
      </c>
      <c r="P38" s="63">
        <f>IF(AND(J38=5,OR(I38="Safety",I38="Environment")),"YES - life-safety override",IF(OR(O38="E",O38="H"),"YES",IF(O38="M","Justify &amp; monitor","No")))</f>
        <v/>
      </c>
      <c r="Q38" s="62" t="n"/>
      <c r="R38" s="62" t="n"/>
      <c r="S38" s="63" t="inlineStr">
        <is>
          <t>Capped at Major because one 20 MW unit is not systemically significant alone. The same technique across a fleet is — and that is the honest framing.</t>
        </is>
      </c>
      <c r="T38" s="63" t="n"/>
      <c r="U38" s="64">
        <f>J38*N38</f>
        <v/>
      </c>
    </row>
    <row r="39" ht="57.75" customHeight="1" s="37">
      <c r="A39" s="45" t="inlineStr">
        <is>
          <t>R-35</t>
        </is>
      </c>
      <c r="B39" s="45" t="inlineStr">
        <is>
          <t>C-08</t>
        </is>
      </c>
      <c r="C39" s="63" t="inlineStr">
        <is>
          <t>Control centre link</t>
        </is>
      </c>
      <c r="D39" s="45" t="inlineStr">
        <is>
          <t>3</t>
        </is>
      </c>
      <c r="E39" s="63" t="inlineStr">
        <is>
          <t>The portfolio control centre is compromised and its trusted supervisory link is used to dispatch the unit.</t>
        </is>
      </c>
      <c r="F39" s="63" t="inlineStr">
        <is>
          <t>T0886 Remote Services; T0831 Manipulation of Control</t>
        </is>
      </c>
      <c r="G39" s="63" t="inlineStr">
        <is>
          <t>The control centre is out of scope for this assessment and has no assessment of its own.</t>
        </is>
      </c>
      <c r="H39" s="45" t="inlineStr">
        <is>
          <t>S-05</t>
        </is>
      </c>
      <c r="I39" s="63" t="inlineStr">
        <is>
          <t>Availability</t>
        </is>
      </c>
      <c r="J39" s="61" t="n">
        <v>4</v>
      </c>
      <c r="K39" s="61" t="n">
        <v>3</v>
      </c>
      <c r="L39" s="45">
        <f>INDEX(Scales!$B$24:$F$28,6-K39,J39)</f>
        <v/>
      </c>
      <c r="M39" s="63" t="inlineStr">
        <is>
          <t>Operator-owned WAN. DMZ termination.</t>
        </is>
      </c>
      <c r="N39" s="61" t="n">
        <v>3</v>
      </c>
      <c r="O39" s="45">
        <f>INDEX(Scales!$B$24:$F$28,6-N39,J39)</f>
        <v/>
      </c>
      <c r="P39" s="63">
        <f>IF(AND(J39=5,OR(I39="Safety",I39="Environment")),"YES - life-safety override",IF(OR(O39="E",O39="H"),"YES",IF(O39="M","Justify &amp; monitor","No")))</f>
        <v/>
      </c>
      <c r="Q39" s="62" t="n"/>
      <c r="R39" s="62" t="n"/>
      <c r="S39" s="63" t="inlineStr">
        <is>
          <t>ROUTE 2 — rated at direct consequence. A compromised control centre can dispatch the unit, which is a generation and market consequence. It does not by itself defeat protection.</t>
        </is>
      </c>
      <c r="T39" s="63" t="inlineStr">
        <is>
          <t>S-01 if combined with R-01 (protection defeat) — dispatch plus no protection</t>
        </is>
      </c>
      <c r="U39" s="64">
        <f>J39*N39</f>
        <v/>
      </c>
    </row>
    <row r="40" ht="57.75" customHeight="1" s="37">
      <c r="A40" s="45" t="inlineStr">
        <is>
          <t>R-36</t>
        </is>
      </c>
      <c r="B40" s="45" t="inlineStr">
        <is>
          <t>C-11</t>
        </is>
      </c>
      <c r="C40" s="63" t="inlineStr">
        <is>
          <t>Corporate IT boundary</t>
        </is>
      </c>
      <c r="D40" s="45" t="inlineStr">
        <is>
          <t>2</t>
        </is>
      </c>
      <c r="E40" s="63" t="inlineStr">
        <is>
          <t>The corporate network is compromised by commodity means and the DMZ is used as the route toward OT.</t>
        </is>
      </c>
      <c r="F40" s="63" t="inlineStr">
        <is>
          <t>T0865 Spearphishing Attachment; T0817 Drive-by Compromise; T0867 Lateral Tool Transfer</t>
        </is>
      </c>
      <c r="G40" s="63" t="inlineStr">
        <is>
          <t>Identity and patch distribution flow inbound from corporate, creating a trusted path.</t>
        </is>
      </c>
      <c r="H40" s="45" t="inlineStr">
        <is>
          <t>S-05</t>
        </is>
      </c>
      <c r="I40" s="63" t="inlineStr">
        <is>
          <t>Availability</t>
        </is>
      </c>
      <c r="J40" s="61" t="n">
        <v>4</v>
      </c>
      <c r="K40" s="61" t="n">
        <v>4</v>
      </c>
      <c r="L40" s="45">
        <f>INDEX(Scales!$B$24:$F$28,6-K40,J40)</f>
        <v/>
      </c>
      <c r="M40" s="63" t="inlineStr">
        <is>
          <t>DMZ firewall. Corporate EDR.</t>
        </is>
      </c>
      <c r="N40" s="61" t="n">
        <v>3</v>
      </c>
      <c r="O40" s="45">
        <f>INDEX(Scales!$B$24:$F$28,6-N40,J40)</f>
        <v/>
      </c>
      <c r="P40" s="63">
        <f>IF(AND(J40=5,OR(I40="Safety",I40="Environment")),"YES - life-safety override",IF(OR(O40="E",O40="H"),"YES",IF(O40="M","Justify &amp; monitor","No")))</f>
        <v/>
      </c>
      <c r="Q40" s="62" t="n"/>
      <c r="R40" s="62" t="n"/>
      <c r="S40" s="63" t="inlineStr">
        <is>
          <t>The Colonial Pipeline pattern: IT compromise forcing an OT shutdown. The business-continuity argument for segregation, and the direct link to CIRMP s8C three-month independent operation.</t>
        </is>
      </c>
      <c r="T40" s="63" t="n"/>
      <c r="U40" s="64">
        <f>J40*N40</f>
        <v/>
      </c>
    </row>
    <row r="41" ht="57.75" customHeight="1" s="37">
      <c r="A41" s="45" t="inlineStr">
        <is>
          <t>R-37</t>
        </is>
      </c>
      <c r="B41" s="45" t="inlineStr">
        <is>
          <t>C-04</t>
        </is>
      </c>
      <c r="C41" s="63" t="inlineStr">
        <is>
          <t>Historian collector</t>
        </is>
      </c>
      <c r="D41" s="45" t="inlineStr">
        <is>
          <t>2</t>
        </is>
      </c>
      <c r="E41" s="63" t="inlineStr">
        <is>
          <t>The historian collection path is used in reverse to reach the supervisory zone.</t>
        </is>
      </c>
      <c r="F41" s="63" t="inlineStr">
        <is>
          <t>T0867 Lateral Tool Transfer; T0869 Standard Application Layer Protocol</t>
        </is>
      </c>
      <c r="G41" s="63" t="inlineStr">
        <is>
          <t>Collector uses a bidirectional session where the data flow is logically one-way.</t>
        </is>
      </c>
      <c r="H41" s="45" t="inlineStr">
        <is>
          <t>S-07</t>
        </is>
      </c>
      <c r="I41" s="63" t="inlineStr">
        <is>
          <t>Availability</t>
        </is>
      </c>
      <c r="J41" s="61" t="n">
        <v>4</v>
      </c>
      <c r="K41" s="61" t="n">
        <v>3</v>
      </c>
      <c r="L41" s="45">
        <f>INDEX(Scales!$B$24:$F$28,6-K41,J41)</f>
        <v/>
      </c>
      <c r="M41" s="63" t="inlineStr">
        <is>
          <t>Firewall rules restrict to the collector port.</t>
        </is>
      </c>
      <c r="N41" s="61" t="n">
        <v>2</v>
      </c>
      <c r="O41" s="45">
        <f>INDEX(Scales!$B$24:$F$28,6-N41,J41)</f>
        <v/>
      </c>
      <c r="P41" s="63">
        <f>IF(AND(J41=5,OR(I41="Safety",I41="Environment")),"YES - life-safety override",IF(OR(O41="E",O41="H"),"YES",IF(O41="M","Justify &amp; monitor","No")))</f>
        <v/>
      </c>
      <c r="Q41" s="62" t="n"/>
      <c r="R41" s="62" t="n"/>
      <c r="S41" s="63" t="inlineStr">
        <is>
          <t>Candidate for a unidirectional gateway. A data diode removes the inbound path rather than filtering it.</t>
        </is>
      </c>
      <c r="T41" s="63" t="n"/>
      <c r="U41" s="64">
        <f>J41*N41</f>
        <v/>
      </c>
    </row>
    <row r="42" ht="57.75" customHeight="1" s="37">
      <c r="A42" s="45" t="inlineStr">
        <is>
          <t>R-38</t>
        </is>
      </c>
      <c r="B42" s="45" t="inlineStr">
        <is>
          <t>C-02</t>
        </is>
      </c>
      <c r="C42" s="63" t="inlineStr">
        <is>
          <t>Supervisory to unit control</t>
        </is>
      </c>
      <c r="D42" s="45" t="inlineStr">
        <is>
          <t>3</t>
        </is>
      </c>
      <c r="E42" s="63" t="inlineStr">
        <is>
          <t>The primary supervisory path is abused to write setpoints and commands directly to the unit.</t>
        </is>
      </c>
      <c r="F42" s="63" t="inlineStr">
        <is>
          <t>T1692 Unauthorized Message; T0831 Manipulation of Control</t>
        </is>
      </c>
      <c r="G42" s="63" t="inlineStr">
        <is>
          <t>Writes are not restricted to an allow-list of tags. No rate limiting on command frequency.</t>
        </is>
      </c>
      <c r="H42" s="45" t="inlineStr">
        <is>
          <t>S-05</t>
        </is>
      </c>
      <c r="I42" s="63" t="inlineStr">
        <is>
          <t>Availability</t>
        </is>
      </c>
      <c r="J42" s="61" t="n">
        <v>4</v>
      </c>
      <c r="K42" s="61" t="n">
        <v>3</v>
      </c>
      <c r="L42" s="45">
        <f>INDEX(Scales!$B$24:$F$28,6-K42,J42)</f>
        <v/>
      </c>
      <c r="M42" s="63" t="inlineStr">
        <is>
          <t>VLAN separation. Firewall between Z-04 and Z-02.</t>
        </is>
      </c>
      <c r="N42" s="61" t="n">
        <v>3</v>
      </c>
      <c r="O42" s="45">
        <f>INDEX(Scales!$B$24:$F$28,6-N42,J42)</f>
        <v/>
      </c>
      <c r="P42" s="63">
        <f>IF(AND(J42=5,OR(I42="Safety",I42="Environment")),"YES - life-safety override",IF(OR(O42="E",O42="H"),"YES",IF(O42="M","Justify &amp; monitor","No")))</f>
        <v/>
      </c>
      <c r="Q42" s="62" t="n"/>
      <c r="R42" s="62" t="n"/>
      <c r="S42" s="63" t="inlineStr">
        <is>
          <t>ROUTE 2 — rated at direct consequence, AND THAT RATING DEPENDS ON A-01. Arbitrary setpoint and command writes to the governor produce a trip, because the hardwired overspeed trip and the hydraulic closure-rate limit (CRS-009) are outside the programmable path. If either is absent this risk returns to consequence 5.</t>
        </is>
      </c>
      <c r="T42" s="63" t="inlineStr">
        <is>
          <t>S-01 ONLY IF A-01 is false (no independent overspeed trip)</t>
        </is>
      </c>
      <c r="U42" s="64">
        <f>J42*N42</f>
        <v/>
      </c>
    </row>
    <row r="43" ht="57.75" customHeight="1" s="37">
      <c r="A43" s="45" t="inlineStr">
        <is>
          <t>R-39</t>
        </is>
      </c>
      <c r="B43" s="45" t="inlineStr">
        <is>
          <t>C-10</t>
        </is>
      </c>
      <c r="C43" s="63" t="inlineStr">
        <is>
          <t>Transient connection conduit</t>
        </is>
      </c>
      <c r="D43" s="45" t="inlineStr">
        <is>
          <t>3</t>
        </is>
      </c>
      <c r="E43" s="63" t="inlineStr">
        <is>
          <t>A device is connected physically inside a control zone, bypassing every network boundary in the design.</t>
        </is>
      </c>
      <c r="F43" s="63" t="inlineStr">
        <is>
          <t>T0864 Transient Cyber Asset; T0847 Replication Through Removable Media</t>
        </is>
      </c>
      <c r="G43" s="63" t="inlineStr">
        <is>
          <t>No 802.1X or port security on control-zone switches. Spare ports are live.</t>
        </is>
      </c>
      <c r="H43" s="45" t="inlineStr">
        <is>
          <t>S-05</t>
        </is>
      </c>
      <c r="I43" s="63" t="inlineStr">
        <is>
          <t>Availability</t>
        </is>
      </c>
      <c r="J43" s="61" t="n">
        <v>4</v>
      </c>
      <c r="K43" s="61" t="n">
        <v>4</v>
      </c>
      <c r="L43" s="45">
        <f>INDEX(Scales!$B$24:$F$28,6-K43,J43)</f>
        <v/>
      </c>
      <c r="M43" s="63" t="inlineStr">
        <is>
          <t>Physical access control to the powerhouse (assumption A-02).</t>
        </is>
      </c>
      <c r="N43" s="61" t="n">
        <v>3</v>
      </c>
      <c r="O43" s="45">
        <f>INDEX(Scales!$B$24:$F$28,6-N43,J43)</f>
        <v/>
      </c>
      <c r="P43" s="63">
        <f>IF(AND(J43=5,OR(I43="Safety",I43="Environment")),"YES - life-safety override",IF(OR(O43="E",O43="H"),"YES",IF(O43="M","Justify &amp; monitor","No")))</f>
        <v/>
      </c>
      <c r="Q43" s="62" t="n"/>
      <c r="R43" s="62" t="n"/>
      <c r="S43" s="63" t="inlineStr">
        <is>
          <t>ROUTE 2 — rated at direct consequence, AND THAT RATING DEPENDS ON A-01. A device connected inside a control zone has no network boundary in front of it, but still meets the independent trip and the hydraulic limit. Its escalation path is on 'Attack path'.</t>
        </is>
      </c>
      <c r="T43" s="63" t="inlineStr">
        <is>
          <t>S-01 / S-02 ONLY IF A-01 is false, or if CRS-009 is enforced in software</t>
        </is>
      </c>
      <c r="U43" s="64">
        <f>J43*N43</f>
        <v/>
      </c>
    </row>
    <row r="44" ht="57.75" customHeight="1" s="37">
      <c r="A44" s="45" t="inlineStr">
        <is>
          <t>R-40</t>
        </is>
      </c>
      <c r="B44" s="45" t="inlineStr">
        <is>
          <t>C-12</t>
        </is>
      </c>
      <c r="C44" s="63" t="inlineStr">
        <is>
          <t>Time synchronisation</t>
        </is>
      </c>
      <c r="D44" s="45" t="inlineStr">
        <is>
          <t>2</t>
        </is>
      </c>
      <c r="E44" s="63" t="inlineStr">
        <is>
          <t>The unauthenticated time input is manipulated, degrading protection coordination and forensics.</t>
        </is>
      </c>
      <c r="F44" s="63" t="inlineStr">
        <is>
          <t>T0830 Adversary-in-the-Middle</t>
        </is>
      </c>
      <c r="G44" s="63" t="inlineStr">
        <is>
          <t>Single GPS source, no holdover alarm, no comparison against a second reference.</t>
        </is>
      </c>
      <c r="H44" s="45" t="inlineStr">
        <is>
          <t>S-07</t>
        </is>
      </c>
      <c r="I44" s="63" t="inlineStr">
        <is>
          <t>Regulatory</t>
        </is>
      </c>
      <c r="J44" s="61" t="n">
        <v>3</v>
      </c>
      <c r="K44" s="61" t="n">
        <v>3</v>
      </c>
      <c r="L44" s="45">
        <f>INDEX(Scales!$B$24:$F$28,6-K44,J44)</f>
        <v/>
      </c>
      <c r="M44" s="63" t="inlineStr">
        <is>
          <t>None specific.</t>
        </is>
      </c>
      <c r="N44" s="61" t="n">
        <v>3</v>
      </c>
      <c r="O44" s="45">
        <f>INDEX(Scales!$B$24:$F$28,6-N44,J44)</f>
        <v/>
      </c>
      <c r="P44" s="63">
        <f>IF(AND(J44=5,OR(I44="Safety",I44="Environment")),"YES - life-safety override",IF(OR(O44="E",O44="H"),"YES",IF(O44="M","Justify &amp; monitor","No")))</f>
        <v/>
      </c>
      <c r="Q44" s="62" t="n"/>
      <c r="R44" s="62" t="n"/>
      <c r="S44" s="63" t="inlineStr">
        <is>
          <t>Treat GPS as untrusted input. A second reference and a divergence alarm is a cheap, high-value control.</t>
        </is>
      </c>
      <c r="T44" s="63" t="n"/>
      <c r="U44" s="64">
        <f>J44*N44</f>
        <v/>
      </c>
    </row>
    <row r="46" ht="15" customHeight="1" s="37">
      <c r="A46" s="65" t="inlineStr">
        <is>
          <t>LEGEND</t>
        </is>
      </c>
    </row>
    <row r="47" ht="39.75" customHeight="1" s="37">
      <c r="A47" s="66" t="inlineStr">
        <is>
          <t>Yellow cells are inputs: consequence, both likelihoods, owner and target date. Risk bands (columns L and O) and the treatment flag (column P) are calculated — never type a band by hand. Consequence ratings are inherited from the ZCR 2 scenarios referenced in column H; re-deriving them here would decouple this register from the initial assessment that justified the partition.</t>
        </is>
      </c>
    </row>
  </sheetData>
  <autoFilter ref="A4:S44"/>
  <mergeCells count="3">
    <mergeCell ref="A2:S2"/>
    <mergeCell ref="A47:S47"/>
    <mergeCell ref="A1:H1"/>
  </mergeCells>
  <conditionalFormatting sqref="L5:L44">
    <cfRule type="cellIs" rank="0" priority="2" equalAverage="0" operator="equal" aboveAverage="0" dxfId="7" text="" percent="0" bottom="0">
      <formula>"E"</formula>
    </cfRule>
    <cfRule type="cellIs" rank="0" priority="3" equalAverage="0" operator="equal" aboveAverage="0" dxfId="8" text="" percent="0" bottom="0">
      <formula>"H"</formula>
    </cfRule>
    <cfRule type="cellIs" rank="0" priority="4" equalAverage="0" operator="equal" aboveAverage="0" dxfId="9" text="" percent="0" bottom="0">
      <formula>"M"</formula>
    </cfRule>
    <cfRule type="cellIs" rank="0" priority="5" equalAverage="0" operator="equal" aboveAverage="0" dxfId="10" text="" percent="0" bottom="0">
      <formula>"L"</formula>
    </cfRule>
  </conditionalFormatting>
  <conditionalFormatting sqref="O5:O44">
    <cfRule type="cellIs" rank="0" priority="6" equalAverage="0" operator="equal" aboveAverage="0" dxfId="7" text="" percent="0" bottom="0">
      <formula>"E"</formula>
    </cfRule>
    <cfRule type="cellIs" rank="0" priority="7" equalAverage="0" operator="equal" aboveAverage="0" dxfId="8" text="" percent="0" bottom="0">
      <formula>"H"</formula>
    </cfRule>
    <cfRule type="cellIs" rank="0" priority="8" equalAverage="0" operator="equal" aboveAverage="0" dxfId="9" text="" percent="0" bottom="0">
      <formula>"M"</formula>
    </cfRule>
    <cfRule type="cellIs" rank="0" priority="9" equalAverage="0" operator="equal" aboveAverage="0" dxfId="10" text="" percent="0" bottom="0">
      <formula>"L"</formula>
    </cfRule>
  </conditionalFormatting>
  <dataValidations count="1">
    <dataValidation sqref="J5:K44 N5:N44" showDropDown="0" showInputMessage="0" showErrorMessage="0" allowBlank="0" errorTitle="Out of range" error="Rating must be 1-5" type="whole" errorStyle="stop" operator="between">
      <formula1>1</formula1>
      <formula2>5</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2" customWidth="1" style="36" min="1" max="1"/>
    <col width="18" customWidth="1" style="36" min="2" max="2"/>
    <col width="26" customWidth="1" style="36" min="3" max="7"/>
  </cols>
  <sheetData>
    <row r="1" ht="17.25" customHeight="1" s="37">
      <c r="A1" s="38" t="inlineStr">
        <is>
          <t>Risk scales and matrix</t>
        </is>
      </c>
    </row>
    <row r="2" ht="15" customHeight="1" s="37">
      <c r="A2" s="39" t="inlineStr">
        <is>
          <t>Carried from ZCR 4 (document 04). Do not edit without re-approving document 04.</t>
        </is>
      </c>
    </row>
    <row r="4" ht="15" customHeight="1" s="37">
      <c r="A4" s="42" t="inlineStr">
        <is>
          <t>CONSEQUENCE</t>
        </is>
      </c>
    </row>
    <row r="5" ht="30" customHeight="1" s="37">
      <c r="A5" s="60" t="inlineStr">
        <is>
          <t>Rating</t>
        </is>
      </c>
      <c r="B5" s="60" t="inlineStr">
        <is>
          <t>Descriptor</t>
        </is>
      </c>
      <c r="C5" s="60" t="inlineStr">
        <is>
          <t>Safety</t>
        </is>
      </c>
      <c r="D5" s="60" t="inlineStr">
        <is>
          <t>Environment</t>
        </is>
      </c>
      <c r="E5" s="60" t="inlineStr">
        <is>
          <t>Availability</t>
        </is>
      </c>
      <c r="F5" s="60" t="inlineStr">
        <is>
          <t>Financial</t>
        </is>
      </c>
      <c r="G5" s="60" t="inlineStr">
        <is>
          <t>Regulatory / reputation</t>
        </is>
      </c>
    </row>
    <row r="6" ht="30" customHeight="1" s="37">
      <c r="A6" s="45" t="n">
        <v>5</v>
      </c>
      <c r="B6" s="63" t="inlineStr">
        <is>
          <t>Catastrophic</t>
        </is>
      </c>
      <c r="C6" s="63" t="inlineStr">
        <is>
          <t>Fatality, or multiple permanent disabilities</t>
        </is>
      </c>
      <c r="D6" s="63" t="inlineStr">
        <is>
          <t>Uncontained release with lasting harm; uncontrolled water release affecting third parties</t>
        </is>
      </c>
      <c r="E6" s="63" t="inlineStr">
        <is>
          <t>&gt; 6 months outage</t>
        </is>
      </c>
      <c r="F6" s="63" t="inlineStr">
        <is>
          <t>&gt; $10M</t>
        </is>
      </c>
      <c r="G6" s="63" t="inlineStr">
        <is>
          <t>Licence revocation; prosecution</t>
        </is>
      </c>
    </row>
    <row r="7" ht="30" customHeight="1" s="37">
      <c r="A7" s="45" t="n">
        <v>4</v>
      </c>
      <c r="B7" s="63" t="inlineStr">
        <is>
          <t>Major</t>
        </is>
      </c>
      <c r="C7" s="63" t="inlineStr">
        <is>
          <t>Permanent disability; multiple lost-time injuries</t>
        </is>
      </c>
      <c r="D7" s="63" t="inlineStr">
        <is>
          <t>Reportable breach requiring remediation; environmental flow breach</t>
        </is>
      </c>
      <c r="E7" s="63" t="inlineStr">
        <is>
          <t>1-6 months</t>
        </is>
      </c>
      <c r="F7" s="63" t="inlineStr">
        <is>
          <t>$1-10M</t>
        </is>
      </c>
      <c r="G7" s="63" t="inlineStr">
        <is>
          <t>Enforceable undertaking; mandatory report</t>
        </is>
      </c>
    </row>
    <row r="8" ht="30" customHeight="1" s="37">
      <c r="A8" s="45" t="n">
        <v>3</v>
      </c>
      <c r="B8" s="63" t="inlineStr">
        <is>
          <t>Moderate</t>
        </is>
      </c>
      <c r="C8" s="63" t="inlineStr">
        <is>
          <t>Lost-time injury</t>
        </is>
      </c>
      <c r="D8" s="63" t="inlineStr">
        <is>
          <t>Reportable, remediable within licence</t>
        </is>
      </c>
      <c r="E8" s="63" t="inlineStr">
        <is>
          <t>1-4 weeks</t>
        </is>
      </c>
      <c r="F8" s="63" t="inlineStr">
        <is>
          <t>$100k-1M</t>
        </is>
      </c>
      <c r="G8" s="63" t="inlineStr">
        <is>
          <t>Reportable incident; local coverage</t>
        </is>
      </c>
    </row>
    <row r="9" ht="30" customHeight="1" s="37">
      <c r="A9" s="45" t="n">
        <v>2</v>
      </c>
      <c r="B9" s="63" t="inlineStr">
        <is>
          <t>Minor</t>
        </is>
      </c>
      <c r="C9" s="63" t="inlineStr">
        <is>
          <t>Medical treatment, no lost time</t>
        </is>
      </c>
      <c r="D9" s="63" t="inlineStr">
        <is>
          <t>Contained; internally reportable</t>
        </is>
      </c>
      <c r="E9" s="63" t="inlineStr">
        <is>
          <t>1-7 days</t>
        </is>
      </c>
      <c r="F9" s="63" t="inlineStr">
        <is>
          <t>$10-100k</t>
        </is>
      </c>
      <c r="G9" s="63" t="inlineStr">
        <is>
          <t>Internal reporting only</t>
        </is>
      </c>
    </row>
    <row r="10" ht="30" customHeight="1" s="37">
      <c r="A10" s="45" t="n">
        <v>1</v>
      </c>
      <c r="B10" s="63" t="inlineStr">
        <is>
          <t>Negligible</t>
        </is>
      </c>
      <c r="C10" s="63" t="inlineStr">
        <is>
          <t>First aid</t>
        </is>
      </c>
      <c r="D10" s="63" t="inlineStr">
        <is>
          <t>None</t>
        </is>
      </c>
      <c r="E10" s="63" t="inlineStr">
        <is>
          <t>&lt; 1 day</t>
        </is>
      </c>
      <c r="F10" s="63" t="inlineStr">
        <is>
          <t>&lt; $10k</t>
        </is>
      </c>
      <c r="G10" s="63" t="inlineStr">
        <is>
          <t>None</t>
        </is>
      </c>
    </row>
    <row r="13" ht="15" customHeight="1" s="37">
      <c r="A13" s="42" t="inlineStr">
        <is>
          <t>LIKELIHOOD</t>
        </is>
      </c>
    </row>
    <row r="14" ht="30" customHeight="1" s="37">
      <c r="A14" s="60" t="inlineStr">
        <is>
          <t>Rating</t>
        </is>
      </c>
      <c r="B14" s="60" t="inlineStr">
        <is>
          <t>Descriptor</t>
        </is>
      </c>
      <c r="C14" s="60" t="inlineStr">
        <is>
          <t>Guidance</t>
        </is>
      </c>
      <c r="D14" s="60" t="n"/>
      <c r="E14" s="60" t="n"/>
      <c r="F14" s="60" t="n"/>
      <c r="G14" s="60" t="n"/>
    </row>
    <row r="15" ht="24" customHeight="1" s="37">
      <c r="A15" s="45" t="n">
        <v>5</v>
      </c>
      <c r="B15" s="63" t="inlineStr">
        <is>
          <t>Almost certain</t>
        </is>
      </c>
      <c r="C15" s="63" t="inlineStr">
        <is>
          <t>Expected within 12 months. Techniques are commodity; the path is exposed and requires no specialist knowledge.</t>
        </is>
      </c>
      <c r="D15" s="48" t="n"/>
      <c r="E15" s="48" t="n"/>
      <c r="F15" s="48" t="n"/>
      <c r="G15" s="49" t="n"/>
    </row>
    <row r="16" ht="24" customHeight="1" s="37">
      <c r="A16" s="45" t="n">
        <v>4</v>
      </c>
      <c r="B16" s="63" t="inlineStr">
        <is>
          <t>Likely</t>
        </is>
      </c>
      <c r="C16" s="63" t="inlineStr">
        <is>
          <t>Expected within 1-3 years. Known techniques, moderate effort, path reachable from outside.</t>
        </is>
      </c>
      <c r="D16" s="48" t="n"/>
      <c r="E16" s="48" t="n"/>
      <c r="F16" s="48" t="n"/>
      <c r="G16" s="49" t="n"/>
    </row>
    <row r="17" ht="24" customHeight="1" s="37">
      <c r="A17" s="45" t="n">
        <v>3</v>
      </c>
      <c r="B17" s="63" t="inlineStr">
        <is>
          <t>Possible</t>
        </is>
      </c>
      <c r="C17" s="63" t="inlineStr">
        <is>
          <t>Expected within 3-10 years. Requires IACS-specific knowledge or insider access; documented in the wild.</t>
        </is>
      </c>
      <c r="D17" s="48" t="n"/>
      <c r="E17" s="48" t="n"/>
      <c r="F17" s="48" t="n"/>
      <c r="G17" s="49" t="n"/>
    </row>
    <row r="18" ht="24" customHeight="1" s="37">
      <c r="A18" s="45" t="n">
        <v>2</v>
      </c>
      <c r="B18" s="63" t="inlineStr">
        <is>
          <t>Unlikely</t>
        </is>
      </c>
      <c r="C18" s="63" t="inlineStr">
        <is>
          <t>Expected within 10-25 years. Requires sustained effort, specialist tooling and target-specific knowledge.</t>
        </is>
      </c>
      <c r="D18" s="48" t="n"/>
      <c r="E18" s="48" t="n"/>
      <c r="F18" s="48" t="n"/>
      <c r="G18" s="49" t="n"/>
    </row>
    <row r="19" ht="24" customHeight="1" s="37">
      <c r="A19" s="45" t="n">
        <v>1</v>
      </c>
      <c r="B19" s="63" t="inlineStr">
        <is>
          <t>Rare</t>
        </is>
      </c>
      <c r="C19" s="63" t="inlineStr">
        <is>
          <t>Not expected. Requires extended resources directed at this specific asset.</t>
        </is>
      </c>
      <c r="D19" s="48" t="n"/>
      <c r="E19" s="48" t="n"/>
      <c r="F19" s="48" t="n"/>
      <c r="G19" s="49" t="n"/>
    </row>
    <row r="22" ht="15" customHeight="1" s="37">
      <c r="A22" s="42" t="inlineStr">
        <is>
          <t>RISK MATRIX  (lookup range B24:F28 — rows = likelihood 5..1, columns = consequence 1..5)</t>
        </is>
      </c>
    </row>
    <row r="23" ht="18" customHeight="1" s="37">
      <c r="A23" s="60" t="inlineStr">
        <is>
          <t>L \ C</t>
        </is>
      </c>
      <c r="B23" s="60" t="n">
        <v>1</v>
      </c>
      <c r="C23" s="60" t="n">
        <v>2</v>
      </c>
      <c r="D23" s="60" t="n">
        <v>3</v>
      </c>
      <c r="E23" s="60" t="n">
        <v>4</v>
      </c>
      <c r="F23" s="60" t="n">
        <v>5</v>
      </c>
    </row>
    <row r="24" ht="15" customHeight="1" s="37">
      <c r="A24" s="67" t="n">
        <v>5</v>
      </c>
      <c r="B24" s="68" t="inlineStr">
        <is>
          <t>M</t>
        </is>
      </c>
      <c r="C24" s="69" t="inlineStr">
        <is>
          <t>H</t>
        </is>
      </c>
      <c r="D24" s="70" t="inlineStr">
        <is>
          <t>E</t>
        </is>
      </c>
      <c r="E24" s="70" t="inlineStr">
        <is>
          <t>E</t>
        </is>
      </c>
      <c r="F24" s="70" t="inlineStr">
        <is>
          <t>E</t>
        </is>
      </c>
    </row>
    <row r="25" ht="15" customHeight="1" s="37">
      <c r="A25" s="67" t="n">
        <v>4</v>
      </c>
      <c r="B25" s="71" t="inlineStr">
        <is>
          <t>L</t>
        </is>
      </c>
      <c r="C25" s="68" t="inlineStr">
        <is>
          <t>M</t>
        </is>
      </c>
      <c r="D25" s="69" t="inlineStr">
        <is>
          <t>H</t>
        </is>
      </c>
      <c r="E25" s="70" t="inlineStr">
        <is>
          <t>E</t>
        </is>
      </c>
      <c r="F25" s="70" t="inlineStr">
        <is>
          <t>E</t>
        </is>
      </c>
    </row>
    <row r="26" ht="15" customHeight="1" s="37">
      <c r="A26" s="67" t="n">
        <v>3</v>
      </c>
      <c r="B26" s="71" t="inlineStr">
        <is>
          <t>L</t>
        </is>
      </c>
      <c r="C26" s="68" t="inlineStr">
        <is>
          <t>M</t>
        </is>
      </c>
      <c r="D26" s="69" t="inlineStr">
        <is>
          <t>H</t>
        </is>
      </c>
      <c r="E26" s="69" t="inlineStr">
        <is>
          <t>H</t>
        </is>
      </c>
      <c r="F26" s="70" t="inlineStr">
        <is>
          <t>E</t>
        </is>
      </c>
    </row>
    <row r="27" ht="15" customHeight="1" s="37">
      <c r="A27" s="67" t="n">
        <v>2</v>
      </c>
      <c r="B27" s="71" t="inlineStr">
        <is>
          <t>L</t>
        </is>
      </c>
      <c r="C27" s="71" t="inlineStr">
        <is>
          <t>L</t>
        </is>
      </c>
      <c r="D27" s="68" t="inlineStr">
        <is>
          <t>M</t>
        </is>
      </c>
      <c r="E27" s="69" t="inlineStr">
        <is>
          <t>H</t>
        </is>
      </c>
      <c r="F27" s="69" t="inlineStr">
        <is>
          <t>H</t>
        </is>
      </c>
    </row>
    <row r="28" ht="15" customHeight="1" s="37">
      <c r="A28" s="67" t="n">
        <v>1</v>
      </c>
      <c r="B28" s="71" t="inlineStr">
        <is>
          <t>L</t>
        </is>
      </c>
      <c r="C28" s="71" t="inlineStr">
        <is>
          <t>L</t>
        </is>
      </c>
      <c r="D28" s="71" t="inlineStr">
        <is>
          <t>L</t>
        </is>
      </c>
      <c r="E28" s="68" t="inlineStr">
        <is>
          <t>M</t>
        </is>
      </c>
      <c r="F28" s="69" t="inlineStr">
        <is>
          <t>H</t>
        </is>
      </c>
    </row>
    <row r="30" ht="15" customHeight="1" s="37">
      <c r="A30" s="42" t="inlineStr">
        <is>
          <t>ACCEPTANCE CRITERIA</t>
        </is>
      </c>
    </row>
    <row r="31" ht="30" customHeight="1" s="37">
      <c r="A31" s="60" t="inlineStr">
        <is>
          <t>Band</t>
        </is>
      </c>
      <c r="B31" s="60" t="inlineStr">
        <is>
          <t>Treatment</t>
        </is>
      </c>
      <c r="C31" s="60" t="inlineStr">
        <is>
          <t>Authority to accept</t>
        </is>
      </c>
      <c r="D31" s="60" t="inlineStr">
        <is>
          <t>Timeframe</t>
        </is>
      </c>
      <c r="E31" s="60" t="n"/>
      <c r="F31" s="60" t="n"/>
      <c r="G31" s="60" t="n"/>
    </row>
    <row r="32" ht="33.75" customHeight="1" s="37">
      <c r="A32" s="70" t="inlineStr">
        <is>
          <t>E</t>
        </is>
      </c>
      <c r="B32" s="72" t="inlineStr">
        <is>
          <t>Not tolerable under any circumstances. Treat to High or below. Interim control plus time-bound derogation if treatment is not immediately achievable.</t>
        </is>
      </c>
      <c r="C32" s="48" t="n"/>
      <c r="D32" s="49" t="n"/>
      <c r="E32" s="72" t="inlineStr">
        <is>
          <t>Board or equivalent governing body — cannot be accepted at site or asset-manager level</t>
        </is>
      </c>
      <c r="F32" s="49" t="n"/>
      <c r="G32" s="72" t="inlineStr">
        <is>
          <t>Interim 30 days; plan 90 days</t>
        </is>
      </c>
    </row>
    <row r="33" ht="33.75" customHeight="1" s="37">
      <c r="A33" s="69" t="inlineStr">
        <is>
          <t>H</t>
        </is>
      </c>
      <c r="B33" s="72" t="inlineStr">
        <is>
          <t>Not tolerable without treatment. Treatment plan required with named owner and date.</t>
        </is>
      </c>
      <c r="C33" s="48" t="n"/>
      <c r="D33" s="49" t="n"/>
      <c r="E33" s="72" t="inlineStr">
        <is>
          <t>Asset owner executive</t>
        </is>
      </c>
      <c r="F33" s="49" t="n"/>
      <c r="G33" s="72" t="inlineStr">
        <is>
          <t>Treat within 12 months</t>
        </is>
      </c>
    </row>
    <row r="34" ht="33.75" customHeight="1" s="37">
      <c r="A34" s="68" t="inlineStr">
        <is>
          <t>M</t>
        </is>
      </c>
      <c r="B34" s="72" t="inlineStr">
        <is>
          <t>Tolerable with documented justification and monitoring. Treat where reasonably practicable.</t>
        </is>
      </c>
      <c r="C34" s="48" t="n"/>
      <c r="D34" s="49" t="n"/>
      <c r="E34" s="72" t="inlineStr">
        <is>
          <t>Asset manager</t>
        </is>
      </c>
      <c r="F34" s="49" t="n"/>
      <c r="G34" s="72" t="inlineStr">
        <is>
          <t>Review annually</t>
        </is>
      </c>
    </row>
    <row r="35" ht="33.75" customHeight="1" s="37">
      <c r="A35" s="71" t="inlineStr">
        <is>
          <t>L</t>
        </is>
      </c>
      <c r="B35" s="72" t="inlineStr">
        <is>
          <t>Tolerable. Monitor through routine review.</t>
        </is>
      </c>
      <c r="C35" s="48" t="n"/>
      <c r="D35" s="49" t="n"/>
      <c r="E35" s="72" t="inlineStr">
        <is>
          <t>Site</t>
        </is>
      </c>
      <c r="F35" s="49" t="n"/>
      <c r="G35" s="72" t="inlineStr">
        <is>
          <t>Review each cycle</t>
        </is>
      </c>
    </row>
    <row r="38" ht="15" customHeight="1" s="37">
      <c r="A38" s="73" t="inlineStr">
        <is>
          <t>OVERRIDES — these beat the matrix</t>
        </is>
      </c>
    </row>
    <row r="39" ht="25.5" customHeight="1" s="37">
      <c r="A39" s="56" t="inlineStr">
        <is>
          <t>1. Safety consequence 5 is never accepted on likelihood grounds alone. Any credible path to fatality requires treatment regardless of band.</t>
        </is>
      </c>
    </row>
    <row r="40" ht="25.5" customHeight="1" s="37">
      <c r="A40" s="56" t="inlineStr">
        <is>
          <t>2. No treatment may be applied inside a protective function. Treatment must act on management interfaces, access or detection — never on the protective action itself.</t>
        </is>
      </c>
    </row>
  </sheetData>
  <mergeCells count="17">
    <mergeCell ref="B33:D33"/>
    <mergeCell ref="E35:F35"/>
    <mergeCell ref="E34:F34"/>
    <mergeCell ref="A1:G1"/>
    <mergeCell ref="A40:G40"/>
    <mergeCell ref="E32:F32"/>
    <mergeCell ref="C16:G16"/>
    <mergeCell ref="A39:G39"/>
    <mergeCell ref="C15:G15"/>
    <mergeCell ref="B32:D32"/>
    <mergeCell ref="E33:F33"/>
    <mergeCell ref="B35:D35"/>
    <mergeCell ref="C19:G19"/>
    <mergeCell ref="A2:G2"/>
    <mergeCell ref="C17:G17"/>
    <mergeCell ref="C18:G18"/>
    <mergeCell ref="B34:D3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F50"/>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3" customWidth="1" style="36" min="1" max="1"/>
    <col width="34" customWidth="1" style="36" min="2" max="2"/>
    <col width="24" customWidth="1" style="36" min="3" max="3"/>
    <col width="26" customWidth="1" style="36" min="4" max="4"/>
    <col width="62" customWidth="1" style="36" min="5" max="5"/>
    <col width="11" customWidth="1" style="36" min="6" max="6"/>
  </cols>
  <sheetData>
    <row r="1" ht="17.25" customHeight="1" s="37">
      <c r="A1" s="38" t="inlineStr">
        <is>
          <t>MITRE ATT&amp;CK for ICS — technique mapping</t>
        </is>
      </c>
    </row>
    <row r="2" ht="15" customHeight="1" s="37">
      <c r="A2" s="39" t="inlineStr">
        <is>
          <t>Content version v19.2, verified 14 Sept 2026 against attack.mitre.org/techniques/ics/. IDs are version-sensitive — see the note below the table.</t>
        </is>
      </c>
    </row>
    <row r="4" ht="31.5" customHeight="1" s="37">
      <c r="A4" s="60" t="inlineStr">
        <is>
          <t>Technique ID</t>
        </is>
      </c>
      <c r="B4" s="60" t="inlineStr">
        <is>
          <t>Technique name</t>
        </is>
      </c>
      <c r="C4" s="60" t="inlineStr">
        <is>
          <t>ATT&amp;CK tactic (primary)</t>
        </is>
      </c>
      <c r="D4" s="60" t="inlineStr">
        <is>
          <t>Used in risk IDs</t>
        </is>
      </c>
      <c r="E4" s="60" t="inlineStr">
        <is>
          <t>Why it matters here</t>
        </is>
      </c>
      <c r="F4" s="60" t="inlineStr">
        <is>
          <t>ID verified
v19.2</t>
        </is>
      </c>
    </row>
    <row r="5" ht="30" customHeight="1" s="37">
      <c r="A5" s="45" t="inlineStr">
        <is>
          <t>T0809</t>
        </is>
      </c>
      <c r="B5" s="63" t="inlineStr">
        <is>
          <t>Data Destruction</t>
        </is>
      </c>
      <c r="C5" s="63" t="inlineStr">
        <is>
          <t>Impact</t>
        </is>
      </c>
      <c r="D5" s="63" t="inlineStr">
        <is>
          <t>R-18</t>
        </is>
      </c>
      <c r="E5" s="63" t="inlineStr">
        <is>
          <t>Encrypting or wiping controller logic, relay settings and backups together is what converts a recoverable incident into an unrecoverable one.</t>
        </is>
      </c>
      <c r="F5" s="45" t="inlineStr">
        <is>
          <t>Yes</t>
        </is>
      </c>
    </row>
    <row r="6" ht="30" customHeight="1" s="37">
      <c r="A6" s="45" t="inlineStr">
        <is>
          <t>T0811</t>
        </is>
      </c>
      <c r="B6" s="63" t="inlineStr">
        <is>
          <t>Data from Information Repositories</t>
        </is>
      </c>
      <c r="C6" s="63" t="inlineStr">
        <is>
          <t>Collection</t>
        </is>
      </c>
      <c r="D6" s="63" t="inlineStr">
        <is>
          <t>R-20</t>
        </is>
      </c>
      <c r="E6" s="63" t="inlineStr">
        <is>
          <t>Engineering documentation is the reconnaissance that makes a targeted logic change feasible.</t>
        </is>
      </c>
      <c r="F6" s="45" t="inlineStr">
        <is>
          <t>Yes</t>
        </is>
      </c>
    </row>
    <row r="7" ht="30" customHeight="1" s="37">
      <c r="A7" s="45" t="inlineStr">
        <is>
          <t>T0813</t>
        </is>
      </c>
      <c r="B7" s="63" t="inlineStr">
        <is>
          <t>Denial of Control</t>
        </is>
      </c>
      <c r="C7" s="63" t="inlineStr">
        <is>
          <t>Impact</t>
        </is>
      </c>
      <c r="D7" s="63" t="inlineStr">
        <is>
          <t>R-08, R-11</t>
        </is>
      </c>
      <c r="E7" s="63" t="inlineStr">
        <is>
          <t>Operators lose the ability to act while the process continues.</t>
        </is>
      </c>
      <c r="F7" s="45" t="inlineStr">
        <is>
          <t>Yes</t>
        </is>
      </c>
    </row>
    <row r="8" ht="30" customHeight="1" s="37">
      <c r="A8" s="45" t="inlineStr">
        <is>
          <t>T0814</t>
        </is>
      </c>
      <c r="B8" s="63" t="inlineStr">
        <is>
          <t>Denial of Service</t>
        </is>
      </c>
      <c r="C8" s="63" t="inlineStr">
        <is>
          <t>Impact</t>
        </is>
      </c>
      <c r="D8" s="63" t="inlineStr">
        <is>
          <t>R-15</t>
        </is>
      </c>
      <c r="E8" s="63" t="inlineStr">
        <is>
          <t>An unattended station with no supervisory path is running blind.</t>
        </is>
      </c>
      <c r="F8" s="45" t="inlineStr">
        <is>
          <t>Yes</t>
        </is>
      </c>
    </row>
    <row r="9" ht="30" customHeight="1" s="37">
      <c r="A9" s="45" t="inlineStr">
        <is>
          <t>T0815</t>
        </is>
      </c>
      <c r="B9" s="63" t="inlineStr">
        <is>
          <t>Denial of View</t>
        </is>
      </c>
      <c r="C9" s="63" t="inlineStr">
        <is>
          <t>Impact</t>
        </is>
      </c>
      <c r="D9" s="63" t="inlineStr">
        <is>
          <t>R-15</t>
        </is>
      </c>
      <c r="E9" s="63" t="inlineStr">
        <is>
          <t>Paired with T0814; the control centre sees nothing.</t>
        </is>
      </c>
      <c r="F9" s="45" t="inlineStr">
        <is>
          <t>Yes</t>
        </is>
      </c>
    </row>
    <row r="10" ht="30" customHeight="1" s="37">
      <c r="A10" s="45" t="inlineStr">
        <is>
          <t>T0816</t>
        </is>
      </c>
      <c r="B10" s="63" t="inlineStr">
        <is>
          <t>Device Restart/Shutdown</t>
        </is>
      </c>
      <c r="C10" s="63" t="inlineStr">
        <is>
          <t>Inhibit Response Function</t>
        </is>
      </c>
      <c r="D10" s="63" t="inlineStr">
        <is>
          <t>R-07</t>
        </is>
      </c>
      <c r="E10" s="63" t="inlineStr">
        <is>
          <t>A PLC restart at the wrong moment suspends interlock execution.</t>
        </is>
      </c>
      <c r="F10" s="45" t="inlineStr">
        <is>
          <t>Yes</t>
        </is>
      </c>
    </row>
    <row r="11" ht="30" customHeight="1" s="37">
      <c r="A11" s="45" t="inlineStr">
        <is>
          <t>T0817</t>
        </is>
      </c>
      <c r="B11" s="63" t="inlineStr">
        <is>
          <t>Drive-by Compromise</t>
        </is>
      </c>
      <c r="C11" s="63" t="inlineStr">
        <is>
          <t>Initial Access</t>
        </is>
      </c>
      <c r="D11" s="63" t="inlineStr">
        <is>
          <t>R-36</t>
        </is>
      </c>
      <c r="E11" s="63" t="inlineStr">
        <is>
          <t>The commodity entry point into corporate IT that precedes the OT-facing move.</t>
        </is>
      </c>
      <c r="F11" s="45" t="inlineStr">
        <is>
          <t>Yes</t>
        </is>
      </c>
    </row>
    <row r="12" ht="30" customHeight="1" s="37">
      <c r="A12" s="45" t="inlineStr">
        <is>
          <t>T0819</t>
        </is>
      </c>
      <c r="B12" s="63" t="inlineStr">
        <is>
          <t>Exploit Public-Facing Application</t>
        </is>
      </c>
      <c r="C12" s="63" t="inlineStr">
        <is>
          <t>Initial Access</t>
        </is>
      </c>
      <c r="D12" s="63" t="inlineStr">
        <is>
          <t>R-29</t>
        </is>
      </c>
      <c r="E12" s="63" t="inlineStr">
        <is>
          <t>The DMZ is internet-reachable by design; patch cadence is tied to outage windows.</t>
        </is>
      </c>
      <c r="F12" s="45" t="inlineStr">
        <is>
          <t>Yes</t>
        </is>
      </c>
    </row>
    <row r="13" ht="30" customHeight="1" s="37">
      <c r="A13" s="45" t="inlineStr">
        <is>
          <t>T0821</t>
        </is>
      </c>
      <c r="B13" s="63" t="inlineStr">
        <is>
          <t>Modify Controller Tasking</t>
        </is>
      </c>
      <c r="C13" s="63" t="inlineStr">
        <is>
          <t>Impair Process Control</t>
        </is>
      </c>
      <c r="D13" s="63" t="inlineStr">
        <is>
          <t>R-21</t>
        </is>
      </c>
      <c r="E13" s="63" t="inlineStr">
        <is>
          <t>Changing what the controller executes, not merely its parameters.</t>
        </is>
      </c>
      <c r="F13" s="45" t="inlineStr">
        <is>
          <t>Yes</t>
        </is>
      </c>
    </row>
    <row r="14" ht="30" customHeight="1" s="37">
      <c r="A14" s="45" t="inlineStr">
        <is>
          <t>T0822</t>
        </is>
      </c>
      <c r="B14" s="63" t="inlineStr">
        <is>
          <t>External Remote Services</t>
        </is>
      </c>
      <c r="C14" s="63" t="inlineStr">
        <is>
          <t>Initial Access</t>
        </is>
      </c>
      <c r="D14" s="63" t="inlineStr">
        <is>
          <t>R-25, R-28, R-31</t>
        </is>
      </c>
      <c r="E14" s="63" t="inlineStr">
        <is>
          <t>The vendor path and the cellular backup path are both external remote services.</t>
        </is>
      </c>
      <c r="F14" s="45" t="inlineStr">
        <is>
          <t>Yes</t>
        </is>
      </c>
    </row>
    <row r="15" ht="30" customHeight="1" s="37">
      <c r="A15" s="45" t="inlineStr">
        <is>
          <t>T0826</t>
        </is>
      </c>
      <c r="B15" s="63" t="inlineStr">
        <is>
          <t>Loss of Availability</t>
        </is>
      </c>
      <c r="C15" s="63" t="inlineStr">
        <is>
          <t>Impact</t>
        </is>
      </c>
      <c r="D15" s="63" t="inlineStr">
        <is>
          <t>R-18</t>
        </is>
      </c>
      <c r="E15" s="63" t="inlineStr">
        <is>
          <t>The SOCI 12-hour reporting trigger when OT is offline.</t>
        </is>
      </c>
      <c r="F15" s="45" t="inlineStr">
        <is>
          <t>Yes</t>
        </is>
      </c>
    </row>
    <row r="16" ht="30" customHeight="1" s="37">
      <c r="A16" s="45" t="inlineStr">
        <is>
          <t>T0829</t>
        </is>
      </c>
      <c r="B16" s="63" t="inlineStr">
        <is>
          <t>Loss of View</t>
        </is>
      </c>
      <c r="C16" s="63" t="inlineStr">
        <is>
          <t>Impact</t>
        </is>
      </c>
      <c r="D16" s="63" t="inlineStr">
        <is>
          <t>R-13</t>
        </is>
      </c>
      <c r="E16" s="63" t="inlineStr">
        <is>
          <t>Derivative consequence — its rating is the rating of what it conceals.</t>
        </is>
      </c>
      <c r="F16" s="45" t="inlineStr">
        <is>
          <t>Yes</t>
        </is>
      </c>
    </row>
    <row r="17" ht="30" customHeight="1" s="37">
      <c r="A17" s="45" t="inlineStr">
        <is>
          <t>T0830</t>
        </is>
      </c>
      <c r="B17" s="63" t="inlineStr">
        <is>
          <t>Adversary-in-the-Middle</t>
        </is>
      </c>
      <c r="C17" s="63" t="inlineStr">
        <is>
          <t>Collection</t>
        </is>
      </c>
      <c r="D17" s="63" t="inlineStr">
        <is>
          <t>R-03, R-16, R-40</t>
        </is>
      </c>
      <c r="E17" s="63" t="inlineStr">
        <is>
          <t>GOOSE injection and GPS spoofing are both AitM against unauthenticated inputs.</t>
        </is>
      </c>
      <c r="F17" s="45" t="inlineStr">
        <is>
          <t>Yes</t>
        </is>
      </c>
    </row>
    <row r="18" ht="30" customHeight="1" s="37">
      <c r="A18" s="45" t="inlineStr">
        <is>
          <t>T0831</t>
        </is>
      </c>
      <c r="B18" s="63" t="inlineStr">
        <is>
          <t>Manipulation of Control</t>
        </is>
      </c>
      <c r="C18" s="63" t="inlineStr">
        <is>
          <t>Impair Process Control</t>
        </is>
      </c>
      <c r="D18" s="63" t="inlineStr">
        <is>
          <t>R-06, R-09, R-10, R-22, R-35, R-38</t>
        </is>
      </c>
      <c r="E18" s="63" t="inlineStr">
        <is>
          <t>The core impairment technique for governor, AVR, auxiliaries and gates.</t>
        </is>
      </c>
      <c r="F18" s="45" t="inlineStr">
        <is>
          <t>Yes</t>
        </is>
      </c>
    </row>
    <row r="19" ht="30" customHeight="1" s="37">
      <c r="A19" s="45" t="inlineStr">
        <is>
          <t>T0832</t>
        </is>
      </c>
      <c r="B19" s="63" t="inlineStr">
        <is>
          <t>Manipulation of View</t>
        </is>
      </c>
      <c r="C19" s="63" t="inlineStr">
        <is>
          <t>Impair Process Control</t>
        </is>
      </c>
      <c r="D19" s="63" t="inlineStr">
        <is>
          <t>R-13, R-24, R-34</t>
        </is>
      </c>
      <c r="E19" s="63" t="inlineStr">
        <is>
          <t>Falsified level telemetry is more dangerous than a falsified command, because it corrupts the response too.</t>
        </is>
      </c>
      <c r="F19" s="45" t="inlineStr">
        <is>
          <t>Yes</t>
        </is>
      </c>
    </row>
    <row r="20" ht="30" customHeight="1" s="37">
      <c r="A20" s="45" t="inlineStr">
        <is>
          <t>T0836</t>
        </is>
      </c>
      <c r="B20" s="63" t="inlineStr">
        <is>
          <t>Modify Parameter</t>
        </is>
      </c>
      <c r="C20" s="63" t="inlineStr">
        <is>
          <t>Impair Process Control</t>
        </is>
      </c>
      <c r="D20" s="63" t="inlineStr">
        <is>
          <t>R-01, R-06, R-09, R-10</t>
        </is>
      </c>
      <c r="E20" s="63" t="inlineStr">
        <is>
          <t>Setpoint and setting-group changes — the quietest way to cause physical harm.</t>
        </is>
      </c>
      <c r="F20" s="45" t="inlineStr">
        <is>
          <t>Yes</t>
        </is>
      </c>
    </row>
    <row r="21" ht="30" customHeight="1" s="37">
      <c r="A21" s="45" t="inlineStr">
        <is>
          <t>T0837</t>
        </is>
      </c>
      <c r="B21" s="63" t="inlineStr">
        <is>
          <t>Loss of Protection</t>
        </is>
      </c>
      <c r="C21" s="63" t="inlineStr">
        <is>
          <t>Impact</t>
        </is>
      </c>
      <c r="D21" s="63" t="inlineStr">
        <is>
          <t>R-01, R-02</t>
        </is>
      </c>
      <c r="E21" s="63" t="inlineStr">
        <is>
          <t>The TRITON pattern. The objective is the protective function itself.</t>
        </is>
      </c>
      <c r="F21" s="45" t="inlineStr">
        <is>
          <t>Yes</t>
        </is>
      </c>
    </row>
    <row r="22" ht="30" customHeight="1" s="37">
      <c r="A22" s="45" t="inlineStr">
        <is>
          <t>T0838</t>
        </is>
      </c>
      <c r="B22" s="63" t="inlineStr">
        <is>
          <t>Modify Alarm Settings</t>
        </is>
      </c>
      <c r="C22" s="63" t="inlineStr">
        <is>
          <t>Inhibit Response Function</t>
        </is>
      </c>
      <c r="D22" s="63" t="inlineStr">
        <is>
          <t>R-14</t>
        </is>
      </c>
      <c r="E22" s="63" t="inlineStr">
        <is>
          <t>Widening thresholds achieves suppression without touching the alarm list.</t>
        </is>
      </c>
      <c r="F22" s="45" t="inlineStr">
        <is>
          <t>Yes</t>
        </is>
      </c>
    </row>
    <row r="23" ht="30" customHeight="1" s="37">
      <c r="A23" s="45" t="inlineStr">
        <is>
          <t>T0843</t>
        </is>
      </c>
      <c r="B23" s="63" t="inlineStr">
        <is>
          <t>Program Download</t>
        </is>
      </c>
      <c r="C23" s="63" t="inlineStr">
        <is>
          <t>Execution</t>
        </is>
      </c>
      <c r="D23" s="63" t="inlineStr">
        <is>
          <t>R-05, R-21</t>
        </is>
      </c>
      <c r="E23" s="63" t="inlineStr">
        <is>
          <t>The technique that turns engineering-workstation access into physical consequence.</t>
        </is>
      </c>
      <c r="F23" s="45" t="inlineStr">
        <is>
          <t>Yes</t>
        </is>
      </c>
    </row>
    <row r="24" ht="30" customHeight="1" s="37">
      <c r="A24" s="45" t="inlineStr">
        <is>
          <t>T0846</t>
        </is>
      </c>
      <c r="B24" s="63" t="inlineStr">
        <is>
          <t>Remote System Discovery</t>
        </is>
      </c>
      <c r="C24" s="63" t="inlineStr">
        <is>
          <t>Discovery</t>
        </is>
      </c>
      <c r="D24" s="63" t="inlineStr">
        <is>
          <t>R-12, R-30</t>
        </is>
      </c>
      <c r="E24" s="63" t="inlineStr">
        <is>
          <t>Reconnaissance across a boundary that the conduit register says should not permit it.</t>
        </is>
      </c>
      <c r="F24" s="45" t="inlineStr">
        <is>
          <t>Yes</t>
        </is>
      </c>
    </row>
    <row r="25" ht="30" customHeight="1" s="37">
      <c r="A25" s="45" t="inlineStr">
        <is>
          <t>T0847</t>
        </is>
      </c>
      <c r="B25" s="63" t="inlineStr">
        <is>
          <t>Replication Through Removable Media</t>
        </is>
      </c>
      <c r="C25" s="63" t="inlineStr">
        <is>
          <t>Lateral Movement</t>
        </is>
      </c>
      <c r="D25" s="63" t="inlineStr">
        <is>
          <t>R-27, R-39</t>
        </is>
      </c>
      <c r="E25" s="63" t="inlineStr">
        <is>
          <t>How Stuxnet crossed an air gap. The access point with no network control at all.</t>
        </is>
      </c>
      <c r="F25" s="45" t="inlineStr">
        <is>
          <t>Yes</t>
        </is>
      </c>
    </row>
    <row r="26" ht="30" customHeight="1" s="37">
      <c r="A26" s="45" t="inlineStr">
        <is>
          <t>T0848</t>
        </is>
      </c>
      <c r="B26" s="63" t="inlineStr">
        <is>
          <t>Rogue Master</t>
        </is>
      </c>
      <c r="C26" s="63" t="inlineStr">
        <is>
          <t>Initial Access</t>
        </is>
      </c>
      <c r="D26" s="63" t="inlineStr">
        <is>
          <t>R-23, R-33</t>
        </is>
      </c>
      <c r="E26" s="63" t="inlineStr">
        <is>
          <t>Unauthenticated DNP3 over radio has no way to distinguish a rogue master from the real one.</t>
        </is>
      </c>
      <c r="F26" s="45" t="inlineStr">
        <is>
          <t>Yes</t>
        </is>
      </c>
    </row>
    <row r="27" ht="30" customHeight="1" s="37">
      <c r="A27" s="45" t="inlineStr">
        <is>
          <t>T0859</t>
        </is>
      </c>
      <c r="B27" s="63" t="inlineStr">
        <is>
          <t>Valid Accounts</t>
        </is>
      </c>
      <c r="C27" s="63" t="inlineStr">
        <is>
          <t>Lateral Movement</t>
        </is>
      </c>
      <c r="D27" s="63" t="inlineStr">
        <is>
          <t>R-17, R-32</t>
        </is>
      </c>
      <c r="E27" s="63" t="inlineStr">
        <is>
          <t>Shared accounts make legitimate and illegitimate use indistinguishable.</t>
        </is>
      </c>
      <c r="F27" s="45" t="inlineStr">
        <is>
          <t>Yes</t>
        </is>
      </c>
    </row>
    <row r="28" ht="30" customHeight="1" s="37">
      <c r="A28" s="45" t="inlineStr">
        <is>
          <t>T0860</t>
        </is>
      </c>
      <c r="B28" s="63" t="inlineStr">
        <is>
          <t>Wireless Compromise</t>
        </is>
      </c>
      <c r="C28" s="63" t="inlineStr">
        <is>
          <t>Initial Access</t>
        </is>
      </c>
      <c r="D28" s="63" t="inlineStr">
        <is>
          <t>R-23</t>
        </is>
      </c>
      <c r="E28" s="63" t="inlineStr">
        <is>
          <t>The intake radio link is the only wireless path in the SUC, which is why it is its own zone.</t>
        </is>
      </c>
      <c r="F28" s="45" t="inlineStr">
        <is>
          <t>Yes</t>
        </is>
      </c>
    </row>
    <row r="29" ht="30" customHeight="1" s="37">
      <c r="A29" s="45" t="inlineStr">
        <is>
          <t>T0862</t>
        </is>
      </c>
      <c r="B29" s="63" t="inlineStr">
        <is>
          <t>Supply Chain Compromise</t>
        </is>
      </c>
      <c r="C29" s="63" t="inlineStr">
        <is>
          <t>Initial Access</t>
        </is>
      </c>
      <c r="D29" s="63" t="inlineStr">
        <is>
          <t>R-31</t>
        </is>
      </c>
      <c r="E29" s="63" t="inlineStr">
        <is>
          <t>Compromise of the OEM rather than of us. Drives the 62443-2-4 obligations in the CRS.</t>
        </is>
      </c>
      <c r="F29" s="45" t="inlineStr">
        <is>
          <t>Yes</t>
        </is>
      </c>
    </row>
    <row r="30" ht="30" customHeight="1" s="37">
      <c r="A30" s="45" t="inlineStr">
        <is>
          <t>T0864</t>
        </is>
      </c>
      <c r="B30" s="63" t="inlineStr">
        <is>
          <t>Transient Cyber Asset</t>
        </is>
      </c>
      <c r="C30" s="63" t="inlineStr">
        <is>
          <t>Initial Access</t>
        </is>
      </c>
      <c r="D30" s="63" t="inlineStr">
        <is>
          <t>R-22, R-26, R-39</t>
        </is>
      </c>
      <c r="E30" s="63" t="inlineStr">
        <is>
          <t>Contractor laptops and direct physical connection at the intake.</t>
        </is>
      </c>
      <c r="F30" s="45" t="inlineStr">
        <is>
          <t>Yes</t>
        </is>
      </c>
    </row>
    <row r="31" ht="30" customHeight="1" s="37">
      <c r="A31" s="45" t="inlineStr">
        <is>
          <t>T0865</t>
        </is>
      </c>
      <c r="B31" s="63" t="inlineStr">
        <is>
          <t>Spearphishing Attachment</t>
        </is>
      </c>
      <c r="C31" s="63" t="inlineStr">
        <is>
          <t>Initial Access</t>
        </is>
      </c>
      <c r="D31" s="63" t="inlineStr">
        <is>
          <t>R-36</t>
        </is>
      </c>
      <c r="E31" s="63" t="inlineStr">
        <is>
          <t>The Colonial Pipeline entry pattern — IT compromise forcing an OT decision.</t>
        </is>
      </c>
      <c r="F31" s="45" t="inlineStr">
        <is>
          <t>Yes</t>
        </is>
      </c>
    </row>
    <row r="32" ht="30" customHeight="1" s="37">
      <c r="A32" s="45" t="inlineStr">
        <is>
          <t>T0866</t>
        </is>
      </c>
      <c r="B32" s="63" t="inlineStr">
        <is>
          <t>Exploitation of Remote Services</t>
        </is>
      </c>
      <c r="C32" s="63" t="inlineStr">
        <is>
          <t>Lateral Movement</t>
        </is>
      </c>
      <c r="D32" s="63" t="inlineStr">
        <is>
          <t>R-28</t>
        </is>
      </c>
      <c r="E32" s="63" t="inlineStr">
        <is>
          <t>Moving from the jump host into the zones it can reach.</t>
        </is>
      </c>
      <c r="F32" s="45" t="inlineStr">
        <is>
          <t>Yes</t>
        </is>
      </c>
    </row>
    <row r="33" ht="30" customHeight="1" s="37">
      <c r="A33" s="45" t="inlineStr">
        <is>
          <t>T0867</t>
        </is>
      </c>
      <c r="B33" s="63" t="inlineStr">
        <is>
          <t>Lateral Tool Transfer</t>
        </is>
      </c>
      <c r="C33" s="63" t="inlineStr">
        <is>
          <t>Lateral Movement</t>
        </is>
      </c>
      <c r="D33" s="63" t="inlineStr">
        <is>
          <t>R-12, R-26, R-30, R-36, R-37</t>
        </is>
      </c>
      <c r="E33" s="63" t="inlineStr">
        <is>
          <t>The movement technique common to every pivot path in this register.</t>
        </is>
      </c>
      <c r="F33" s="45" t="inlineStr">
        <is>
          <t>Yes</t>
        </is>
      </c>
    </row>
    <row r="34" ht="30" customHeight="1" s="37">
      <c r="A34" s="45" t="inlineStr">
        <is>
          <t>T0869</t>
        </is>
      </c>
      <c r="B34" s="63" t="inlineStr">
        <is>
          <t>Standard Application Layer Protocol</t>
        </is>
      </c>
      <c r="C34" s="63" t="inlineStr">
        <is>
          <t>Command and Control</t>
        </is>
      </c>
      <c r="D34" s="63" t="inlineStr">
        <is>
          <t>R-37</t>
        </is>
      </c>
      <c r="E34" s="63" t="inlineStr">
        <is>
          <t>Using the historian collector's own protocol as the channel.</t>
        </is>
      </c>
      <c r="F34" s="45" t="inlineStr">
        <is>
          <t>Yes</t>
        </is>
      </c>
    </row>
    <row r="35" ht="30" customHeight="1" s="37">
      <c r="A35" s="45" t="inlineStr">
        <is>
          <t>T0873</t>
        </is>
      </c>
      <c r="B35" s="63" t="inlineStr">
        <is>
          <t>Project File Infection</t>
        </is>
      </c>
      <c r="C35" s="63" t="inlineStr">
        <is>
          <t>Persistence</t>
        </is>
      </c>
      <c r="D35" s="63" t="inlineStr">
        <is>
          <t>R-19</t>
        </is>
      </c>
      <c r="E35" s="63" t="inlineStr">
        <is>
          <t>The next legitimate download carries the payload. Approval governs intent, not content.</t>
        </is>
      </c>
      <c r="F35" s="45" t="inlineStr">
        <is>
          <t>Yes</t>
        </is>
      </c>
    </row>
    <row r="36" ht="30" customHeight="1" s="37">
      <c r="A36" s="45" t="inlineStr">
        <is>
          <t>T0878</t>
        </is>
      </c>
      <c r="B36" s="63" t="inlineStr">
        <is>
          <t>Alarm Suppression</t>
        </is>
      </c>
      <c r="C36" s="63" t="inlineStr">
        <is>
          <t>Inhibit Response Function</t>
        </is>
      </c>
      <c r="D36" s="63" t="inlineStr">
        <is>
          <t>R-14</t>
        </is>
      </c>
      <c r="E36" s="63" t="inlineStr">
        <is>
          <t>Rarely the objective; it is what makes the objective survivable for the attacker.</t>
        </is>
      </c>
      <c r="F36" s="45" t="inlineStr">
        <is>
          <t>Yes</t>
        </is>
      </c>
    </row>
    <row r="37" ht="30" customHeight="1" s="37">
      <c r="A37" s="45" t="inlineStr">
        <is>
          <t>T0879</t>
        </is>
      </c>
      <c r="B37" s="63" t="inlineStr">
        <is>
          <t>Damage to Property</t>
        </is>
      </c>
      <c r="C37" s="63" t="inlineStr">
        <is>
          <t>Impact</t>
        </is>
      </c>
      <c r="D37" s="63" t="inlineStr">
        <is>
          <t>R-05</t>
        </is>
      </c>
      <c r="E37" s="63" t="inlineStr">
        <is>
          <t>Overspeed to mechanical destruction is the worst credible outcome in this SUC.</t>
        </is>
      </c>
      <c r="F37" s="45" t="inlineStr">
        <is>
          <t>Yes</t>
        </is>
      </c>
    </row>
    <row r="38" ht="30" customHeight="1" s="37">
      <c r="A38" s="45" t="inlineStr">
        <is>
          <t>T0881</t>
        </is>
      </c>
      <c r="B38" s="63" t="inlineStr">
        <is>
          <t>Service Stop</t>
        </is>
      </c>
      <c r="C38" s="63" t="inlineStr">
        <is>
          <t>Inhibit Response Function</t>
        </is>
      </c>
      <c r="D38" s="63" t="inlineStr">
        <is>
          <t>R-11</t>
        </is>
      </c>
      <c r="E38" s="63" t="inlineStr">
        <is>
          <t>Stopping drainage is a slow physical attack with no network signature.</t>
        </is>
      </c>
      <c r="F38" s="45" t="inlineStr">
        <is>
          <t>Yes</t>
        </is>
      </c>
    </row>
    <row r="39" ht="30" customHeight="1" s="37">
      <c r="A39" s="45" t="inlineStr">
        <is>
          <t>T0882</t>
        </is>
      </c>
      <c r="B39" s="63" t="inlineStr">
        <is>
          <t>Theft of Operational Information</t>
        </is>
      </c>
      <c r="C39" s="63" t="inlineStr">
        <is>
          <t>Collection</t>
        </is>
      </c>
      <c r="D39" s="63" t="inlineStr">
        <is>
          <t>R-20</t>
        </is>
      </c>
      <c r="E39" s="63" t="inlineStr">
        <is>
          <t>Low direct consequence, high enabling value.</t>
        </is>
      </c>
      <c r="F39" s="45" t="inlineStr">
        <is>
          <t>Yes</t>
        </is>
      </c>
    </row>
    <row r="40" ht="30" customHeight="1" s="37">
      <c r="A40" s="45" t="inlineStr">
        <is>
          <t>T0883</t>
        </is>
      </c>
      <c r="B40" s="63" t="inlineStr">
        <is>
          <t>Internet Accessible Device</t>
        </is>
      </c>
      <c r="C40" s="63" t="inlineStr">
        <is>
          <t>Initial Access</t>
        </is>
      </c>
      <c r="D40" s="63" t="inlineStr">
        <is>
          <t>R-25, R-29</t>
        </is>
      </c>
      <c r="E40" s="63" t="inlineStr">
        <is>
          <t>A standby path that is permanently connected is a second front door.</t>
        </is>
      </c>
      <c r="F40" s="45" t="inlineStr">
        <is>
          <t>Yes</t>
        </is>
      </c>
    </row>
    <row r="41" ht="30" customHeight="1" s="37">
      <c r="A41" s="45" t="inlineStr">
        <is>
          <t>T0886</t>
        </is>
      </c>
      <c r="B41" s="63" t="inlineStr">
        <is>
          <t>Remote Services</t>
        </is>
      </c>
      <c r="C41" s="63" t="inlineStr">
        <is>
          <t>Lateral Movement</t>
        </is>
      </c>
      <c r="D41" s="63" t="inlineStr">
        <is>
          <t>R-35</t>
        </is>
      </c>
      <c r="E41" s="63" t="inlineStr">
        <is>
          <t>The control centre's trusted supervisory link.</t>
        </is>
      </c>
      <c r="F41" s="45" t="inlineStr">
        <is>
          <t>Yes</t>
        </is>
      </c>
    </row>
    <row r="42" ht="30" customHeight="1" s="37">
      <c r="A42" s="45" t="inlineStr">
        <is>
          <t>T0889</t>
        </is>
      </c>
      <c r="B42" s="63" t="inlineStr">
        <is>
          <t>Modify Program</t>
        </is>
      </c>
      <c r="C42" s="63" t="inlineStr">
        <is>
          <t>Impair Process Control</t>
        </is>
      </c>
      <c r="D42" s="63" t="inlineStr">
        <is>
          <t>R-01, R-05, R-19</t>
        </is>
      </c>
      <c r="E42" s="63" t="inlineStr">
        <is>
          <t>Changing logic rather than data.</t>
        </is>
      </c>
      <c r="F42" s="45" t="inlineStr">
        <is>
          <t>Yes</t>
        </is>
      </c>
    </row>
    <row r="43" ht="30" customHeight="1" s="37">
      <c r="A43" s="45" t="inlineStr">
        <is>
          <t>T0895</t>
        </is>
      </c>
      <c r="B43" s="63" t="inlineStr">
        <is>
          <t>Autorun Image</t>
        </is>
      </c>
      <c r="C43" s="63" t="inlineStr">
        <is>
          <t>Execution</t>
        </is>
      </c>
      <c r="D43" s="63" t="inlineStr">
        <is>
          <t>R-27</t>
        </is>
      </c>
      <c r="E43" s="63" t="inlineStr">
        <is>
          <t>Execution path for removable media.</t>
        </is>
      </c>
      <c r="F43" s="45" t="inlineStr">
        <is>
          <t>Yes</t>
        </is>
      </c>
    </row>
    <row r="44" ht="30" customHeight="1" s="37">
      <c r="A44" s="45" t="inlineStr">
        <is>
          <t>T1691</t>
        </is>
      </c>
      <c r="B44" s="63" t="inlineStr">
        <is>
          <t>Block Operational Technology Message</t>
        </is>
      </c>
      <c r="C44" s="63" t="inlineStr">
        <is>
          <t>Inhibit Response Function</t>
        </is>
      </c>
      <c r="D44" s="63" t="inlineStr">
        <is>
          <t>R-02</t>
        </is>
      </c>
      <c r="E44" s="63" t="inlineStr">
        <is>
          <t>Supersedes the older T0803/T0804 pair.</t>
        </is>
      </c>
      <c r="F44" s="45" t="inlineStr">
        <is>
          <t>Yes</t>
        </is>
      </c>
    </row>
    <row r="45" ht="30" customHeight="1" s="37">
      <c r="A45" s="45" t="inlineStr">
        <is>
          <t>T1692</t>
        </is>
      </c>
      <c r="B45" s="63" t="inlineStr">
        <is>
          <t>Unauthorized Message</t>
        </is>
      </c>
      <c r="C45" s="63" t="inlineStr">
        <is>
          <t>Impair Process Control</t>
        </is>
      </c>
      <c r="D45" s="63" t="inlineStr">
        <is>
          <t>R-03, R-08, R-23, R-24, R-33, R-34, R-38</t>
        </is>
      </c>
      <c r="E45" s="63" t="inlineStr">
        <is>
          <t>Supersedes T0855 Unauthorized Command Message and T0856 Spoof Reporting Message.</t>
        </is>
      </c>
      <c r="F45" s="45" t="inlineStr">
        <is>
          <t>Yes</t>
        </is>
      </c>
    </row>
    <row r="46" ht="30" customHeight="1" s="37">
      <c r="A46" s="45" t="inlineStr">
        <is>
          <t>T1693</t>
        </is>
      </c>
      <c r="B46" s="63" t="inlineStr">
        <is>
          <t>Modify Firmware</t>
        </is>
      </c>
      <c r="C46" s="63" t="inlineStr">
        <is>
          <t>Persistence</t>
        </is>
      </c>
      <c r="D46" s="63" t="inlineStr">
        <is>
          <t>R-04</t>
        </is>
      </c>
      <c r="E46" s="63" t="inlineStr">
        <is>
          <t>Supersedes T0857 System Firmware and T0839 Module Firmware.</t>
        </is>
      </c>
      <c r="F46" s="45" t="inlineStr">
        <is>
          <t>Yes</t>
        </is>
      </c>
    </row>
    <row r="47" ht="30" customHeight="1" s="37">
      <c r="A47" s="45" t="inlineStr">
        <is>
          <t>T1694</t>
        </is>
      </c>
      <c r="B47" s="63" t="inlineStr">
        <is>
          <t>Insecure Credentials</t>
        </is>
      </c>
      <c r="C47" s="63" t="inlineStr">
        <is>
          <t>Credential Access</t>
        </is>
      </c>
      <c r="D47" s="63" t="inlineStr">
        <is>
          <t>R-17, R-32</t>
        </is>
      </c>
      <c r="E47" s="63" t="inlineStr">
        <is>
          <t>Supersedes T0891 Hardcoded Credentials. The Oldsmar technique.</t>
        </is>
      </c>
      <c r="F47" s="45" t="inlineStr">
        <is>
          <t>Yes</t>
        </is>
      </c>
    </row>
    <row r="49" ht="15" customHeight="1" s="37">
      <c r="A49" s="74" t="inlineStr">
        <is>
          <t>VERSION NOTE</t>
        </is>
      </c>
    </row>
    <row r="50" ht="57.75" customHeight="1" s="37">
      <c r="A50" s="66" t="inlineStr">
        <is>
          <t>ATT&amp;CK for ICS technique IDs are version-sensitive and several were restructured before v19.2. Material written against earlier releases cites T0855 (Unauthorized Command Message), T0856 (Spoof Reporting Message), T0803/T0804 (Block Command/Reporting Message), T0857/T0839 (System/Module Firmware) and T0891 (Hardcoded Credentials). All are superseded by T1691-T1695 in the current release. Re-verify this sheet against the live matrix whenever the assessment is refreshed, and record the version you verified against.</t>
        </is>
      </c>
    </row>
  </sheetData>
  <autoFilter ref="A4:F47"/>
  <mergeCells count="3">
    <mergeCell ref="A2:F2"/>
    <mergeCell ref="A1:F1"/>
    <mergeCell ref="A50:F50"/>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H21"/>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8" customWidth="1" style="36" min="1" max="1"/>
    <col width="30" customWidth="1" style="36" min="2" max="2"/>
    <col width="8" customWidth="1" style="36" min="3" max="6"/>
    <col width="62" customWidth="1" style="36" min="7" max="7"/>
    <col width="18" customWidth="1" style="36" min="8" max="8"/>
  </cols>
  <sheetData>
    <row r="1" ht="17.25" customHeight="1" s="37">
      <c r="A1" s="38" t="inlineStr">
        <is>
          <t>Security level gap — SL-T against SL-A</t>
        </is>
      </c>
    </row>
    <row r="2" ht="15" customHeight="1" s="37">
      <c r="A2" s="39" t="inlineStr">
        <is>
          <t>The operating loop: assess SL-A against SL-T; the delta is the remediation backlog. SL-C is what the components are capable of, as declared by the vendor.</t>
        </is>
      </c>
    </row>
    <row r="4" ht="31.5" customHeight="1" s="37">
      <c r="A4" s="60" t="inlineStr">
        <is>
          <t>Zone /
Conduit</t>
        </is>
      </c>
      <c r="B4" s="60" t="inlineStr">
        <is>
          <t>Name</t>
        </is>
      </c>
      <c r="C4" s="60" t="inlineStr">
        <is>
          <t>SL-T
(target)</t>
        </is>
      </c>
      <c r="D4" s="60" t="inlineStr">
        <is>
          <t>SL-C
(capable)</t>
        </is>
      </c>
      <c r="E4" s="60" t="inlineStr">
        <is>
          <t>SL-A
(achieved)</t>
        </is>
      </c>
      <c r="F4" s="60" t="inlineStr">
        <is>
          <t>Gap
(T-A)</t>
        </is>
      </c>
      <c r="G4" s="60" t="inlineStr">
        <is>
          <t>Principal shortfall driving the gap</t>
        </is>
      </c>
      <c r="H4" s="60" t="inlineStr">
        <is>
          <t>Governing
risk IDs</t>
        </is>
      </c>
    </row>
    <row r="5" ht="45.75" customHeight="1" s="37">
      <c r="A5" s="45" t="inlineStr">
        <is>
          <t>Z-01</t>
        </is>
      </c>
      <c r="B5" s="63" t="inlineStr">
        <is>
          <t>Protection and trip</t>
        </is>
      </c>
      <c r="C5" s="45" t="n">
        <v>3</v>
      </c>
      <c r="D5" s="61" t="n">
        <v>2</v>
      </c>
      <c r="E5" s="61" t="n">
        <v>1</v>
      </c>
      <c r="F5" s="45">
        <f>C5-E5</f>
        <v/>
      </c>
      <c r="G5" s="63" t="inlineStr">
        <is>
          <t>No per-user authentication on relay management; no integrity verification of settings or firmware; setting changes detected only by annual test.</t>
        </is>
      </c>
      <c r="H5" s="63" t="inlineStr">
        <is>
          <t>R-01, R-02, R-04</t>
        </is>
      </c>
    </row>
    <row r="6" ht="45.75" customHeight="1" s="37">
      <c r="A6" s="45" t="inlineStr">
        <is>
          <t>Z-02</t>
        </is>
      </c>
      <c r="B6" s="63" t="inlineStr">
        <is>
          <t>Unit control</t>
        </is>
      </c>
      <c r="C6" s="45" t="n">
        <v>3</v>
      </c>
      <c r="D6" s="61" t="n">
        <v>2</v>
      </c>
      <c r="E6" s="61" t="n">
        <v>1</v>
      </c>
      <c r="F6" s="45">
        <f>C6-E6</f>
        <v/>
      </c>
      <c r="G6" s="63" t="inlineStr">
        <is>
          <t>Governor programming interface has no user authentication; logic not integrity-checked after download; PLC mode change unalarmed.</t>
        </is>
      </c>
      <c r="H6" s="63" t="inlineStr">
        <is>
          <t>R-05, R-06, R-07</t>
        </is>
      </c>
    </row>
    <row r="7" ht="45.75" customHeight="1" s="37">
      <c r="A7" s="45" t="inlineStr">
        <is>
          <t>Z-03</t>
        </is>
      </c>
      <c r="B7" s="63" t="inlineStr">
        <is>
          <t>Station auxiliaries</t>
        </is>
      </c>
      <c r="C7" s="45" t="n">
        <v>2</v>
      </c>
      <c r="D7" s="61" t="n">
        <v>2</v>
      </c>
      <c r="E7" s="61" t="n">
        <v>1</v>
      </c>
      <c r="F7" s="45">
        <f>C7-E7</f>
        <v/>
      </c>
      <c r="G7" s="63" t="inlineStr">
        <is>
          <t>No setpoint baselining or change alerting; inhibit states unmonitored.</t>
        </is>
      </c>
      <c r="H7" s="63" t="inlineStr">
        <is>
          <t>R-10, R-11</t>
        </is>
      </c>
    </row>
    <row r="8" ht="45.75" customHeight="1" s="37">
      <c r="A8" s="45" t="inlineStr">
        <is>
          <t>Z-04</t>
        </is>
      </c>
      <c r="B8" s="63" t="inlineStr">
        <is>
          <t>Supervisory control</t>
        </is>
      </c>
      <c r="C8" s="45" t="n">
        <v>2</v>
      </c>
      <c r="D8" s="61" t="n">
        <v>2</v>
      </c>
      <c r="E8" s="61" t="n">
        <v>1</v>
      </c>
      <c r="F8" s="45">
        <f>C8-E8</f>
        <v/>
      </c>
      <c r="G8" s="63" t="inlineStr">
        <is>
          <t>Shared operator account; no MFA; alarm configuration changes not independently logged.</t>
        </is>
      </c>
      <c r="H8" s="63" t="inlineStr">
        <is>
          <t>R-14, R-17</t>
        </is>
      </c>
    </row>
    <row r="9" ht="45.75" customHeight="1" s="37">
      <c r="A9" s="45" t="inlineStr">
        <is>
          <t>Z-05a</t>
        </is>
      </c>
      <c r="B9" s="63" t="inlineStr">
        <is>
          <t>Engineering</t>
        </is>
      </c>
      <c r="C9" s="45" t="n">
        <v>3</v>
      </c>
      <c r="D9" s="61" t="n">
        <v>3</v>
      </c>
      <c r="E9" s="61" t="n">
        <v>1</v>
      </c>
      <c r="F9" s="45">
        <f>C9-E9</f>
        <v/>
      </c>
      <c r="G9" s="63" t="inlineStr">
        <is>
          <t>Backups on-site, same domain, reachable from the host that would be encrypted, and never restore-tested. Project files and toolchain unsigned.</t>
        </is>
      </c>
      <c r="H9" s="63" t="inlineStr">
        <is>
          <t>R-18, R-19, R-21</t>
        </is>
      </c>
    </row>
    <row r="10" ht="45.75" customHeight="1" s="37">
      <c r="A10" s="45" t="inlineStr">
        <is>
          <t>Z-05b</t>
        </is>
      </c>
      <c r="B10" s="63" t="inlineStr">
        <is>
          <t>Plant information</t>
        </is>
      </c>
      <c r="C10" s="45" t="inlineStr">
        <is>
          <t>2</t>
        </is>
      </c>
      <c r="D10" s="61" t="inlineStr">
        <is>
          <t>3</t>
        </is>
      </c>
      <c r="E10" s="61" t="inlineStr">
        <is>
          <t>2</t>
        </is>
      </c>
      <c r="F10" s="45">
        <f>C10-E10</f>
        <v/>
      </c>
      <c r="G10" s="63" t="inlineStr">
        <is>
          <t>Read-mostly historian and documentation store. Achieves its lower target already — the gap closes by SEPARATION, not by spend. This row is the argument for the split.</t>
        </is>
      </c>
      <c r="H10" s="63" t="inlineStr">
        <is>
          <t>R-20</t>
        </is>
      </c>
    </row>
    <row r="11" ht="45.75" customHeight="1" s="37">
      <c r="A11" s="45" t="inlineStr">
        <is>
          <t>Z-06</t>
        </is>
      </c>
      <c r="B11" s="63" t="inlineStr">
        <is>
          <t>Intake and weir</t>
        </is>
      </c>
      <c r="C11" s="45" t="n">
        <v>3</v>
      </c>
      <c r="D11" s="61" t="n">
        <v>1</v>
      </c>
      <c r="E11" s="61" t="n">
        <v>1</v>
      </c>
      <c r="F11" s="45">
        <f>C11-E11</f>
        <v/>
      </c>
      <c r="G11" s="63" t="inlineStr">
        <is>
          <t>DNP3 without Secure Authentication (RTU capability unconfirmed); physical access uncontrolled; single level source with no independent cross-check.</t>
        </is>
      </c>
      <c r="H11" s="63" t="inlineStr">
        <is>
          <t>R-22, R-23, R-24</t>
        </is>
      </c>
    </row>
    <row r="12" ht="45.75" customHeight="1" s="37">
      <c r="A12" s="45" t="inlineStr">
        <is>
          <t>Z-07</t>
        </is>
      </c>
      <c r="B12" s="63" t="inlineStr">
        <is>
          <t>Transient and externally connected</t>
        </is>
      </c>
      <c r="C12" s="45" t="n">
        <v>3</v>
      </c>
      <c r="D12" s="61" t="n">
        <v>1</v>
      </c>
      <c r="E12" s="61" t="n">
        <v>1</v>
      </c>
      <c r="F12" s="45">
        <f>C12-E12</f>
        <v/>
      </c>
      <c r="G12" s="63" t="inlineStr">
        <is>
          <t>No pre-connection scanning, no dedicated site laptops, no port security on control-zone switches, no media sanitisation.</t>
        </is>
      </c>
      <c r="H12" s="63" t="inlineStr">
        <is>
          <t>R-26, R-27</t>
        </is>
      </c>
    </row>
    <row r="13" ht="45.75" customHeight="1" s="37">
      <c r="A13" s="45" t="inlineStr">
        <is>
          <t>Z-08</t>
        </is>
      </c>
      <c r="B13" s="63" t="inlineStr">
        <is>
          <t>Site DMZ</t>
        </is>
      </c>
      <c r="C13" s="45" t="n">
        <v>3</v>
      </c>
      <c r="D13" s="61" t="n">
        <v>3</v>
      </c>
      <c r="E13" s="61" t="n">
        <v>2</v>
      </c>
      <c r="F13" s="45">
        <f>C13-E13</f>
        <v/>
      </c>
      <c r="G13" s="63" t="inlineStr">
        <is>
          <t>Session recording not enabled on the jump host; firewall rule set not automatically compared against the conduit register.</t>
        </is>
      </c>
      <c r="H13" s="63" t="inlineStr">
        <is>
          <t>R-28, R-30</t>
        </is>
      </c>
    </row>
    <row r="14" ht="45.75" customHeight="1" s="37">
      <c r="A14" s="45" t="inlineStr">
        <is>
          <t>C-06</t>
        </is>
      </c>
      <c r="B14" s="63" t="inlineStr">
        <is>
          <t>Intake conduit</t>
        </is>
      </c>
      <c r="C14" s="45" t="n">
        <v>3</v>
      </c>
      <c r="D14" s="61" t="n">
        <v>1</v>
      </c>
      <c r="E14" s="61" t="n">
        <v>1</v>
      </c>
      <c r="F14" s="45">
        <f>C14-E14</f>
        <v/>
      </c>
      <c r="G14" s="63" t="inlineStr">
        <is>
          <t>Unauthenticated protocol over a radio link whose far end is physically accessible. Commands trusted on receipt rather than validated at the receiving end.</t>
        </is>
      </c>
      <c r="H14" s="63" t="inlineStr">
        <is>
          <t>R-33</t>
        </is>
      </c>
    </row>
    <row r="15">
      <c r="A15" s="45" t="inlineStr">
        <is>
          <t>C-09</t>
        </is>
      </c>
      <c r="B15" s="63" t="inlineStr">
        <is>
          <t>Vendor remote access</t>
        </is>
      </c>
      <c r="C15" s="45" t="n">
        <v>3</v>
      </c>
      <c r="D15" s="61" t="n">
        <v>2</v>
      </c>
      <c r="E15" s="61" t="n">
        <v>1</v>
      </c>
      <c r="F15" s="45">
        <f>C15-E15</f>
        <v/>
      </c>
      <c r="G15" s="63" t="inlineStr">
        <is>
          <t>Shared per-vendor accounts; no just-in-time approval; no session recording; no 62443-2-4 obligations in the service contract.</t>
        </is>
      </c>
      <c r="H15" s="63" t="inlineStr">
        <is>
          <t>R-31, R-32</t>
        </is>
      </c>
    </row>
    <row r="16" ht="15.75" customHeight="1" s="37"/>
    <row r="17" ht="31.5" customHeight="1" s="37">
      <c r="A17" s="58" t="inlineStr">
        <is>
          <t>READ THIS BEFORE QUOTING THE NUMBERS</t>
        </is>
      </c>
    </row>
    <row r="18" ht="31.5" customHeight="1" s="37">
      <c r="A18" s="75" t="inlineStr">
        <is>
          <t>SL-A values are the assessor's estimate from documented configuration, not from testing. They are the most uncertain figures in the workbook and should be replaced by measured values after a configuration review. An SL-A stated without evidence is an opinion wearing a number.</t>
        </is>
      </c>
    </row>
    <row r="19" ht="31.5" customHeight="1" s="37">
      <c r="A19" s="75" t="inlineStr">
        <is>
          <t>SL-C for Z-06 and C-06 is 1 pending confirmation that the intake RTU supports DNP3 Secure Authentication. If it does not, SL-T 3 on that conduit is not achievable by configuration and becomes a procurement item — which is exactly the kind of finding the CRS exists to force a supplier to answer.</t>
        </is>
      </c>
    </row>
    <row r="20" ht="31.5" customHeight="1" s="37">
      <c r="A20" s="75" t="inlineStr">
        <is>
          <t>SL-C is a vendor claim. A component with SL-C 3 badly configured achieves less; a component with SL-C 1 cannot reach SL-T 3 however well configured. Where SL-C is below SL-T, the remediation belongs in procurement, not in engineering.</t>
        </is>
      </c>
    </row>
    <row r="21">
      <c r="A21" s="75" t="inlineStr">
        <is>
          <t>Maturity level and security level have no relationship to each other. ML (62443-2-1 and -2-4) describes how institutionalised a process is; SL describes what attacker capability a system withstands. An organisation at ML 3 can operate a zone at SL 1.</t>
        </is>
      </c>
    </row>
  </sheetData>
  <mergeCells count="7">
    <mergeCell ref="A18:H18"/>
    <mergeCell ref="A20:H20"/>
    <mergeCell ref="A2:H2"/>
    <mergeCell ref="A16:H16"/>
    <mergeCell ref="A19:H19"/>
    <mergeCell ref="A1:H1"/>
    <mergeCell ref="A17:H17"/>
  </mergeCells>
  <conditionalFormatting sqref="F5:F14">
    <cfRule type="cellIs" rank="0" priority="2" equalAverage="0" operator="greaterThanOrEqual" aboveAverage="0" dxfId="7" text="" percent="0" bottom="0">
      <formula>2</formula>
    </cfRule>
    <cfRule type="cellIs" rank="0" priority="3" equalAverage="0" operator="equal" aboveAverage="0" dxfId="8" text="" percent="0" bottom="0">
      <formula>1</formula>
    </cfRule>
    <cfRule type="cellIs" rank="0" priority="4" equalAverage="0" operator="lessThanOrEqual" aboveAverage="0" dxfId="10" text="" percent="0" bottom="0">
      <formula>0</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outlinePr summaryBelow="1" summaryRight="1"/>
    <pageSetUpPr/>
  </sheetPr>
  <dimension ref="A1:F16"/>
  <sheetViews>
    <sheetView showGridLines="0" workbookViewId="0">
      <selection activeCell="A1" sqref="A1"/>
    </sheetView>
  </sheetViews>
  <sheetFormatPr baseColWidth="8" defaultRowHeight="15"/>
  <cols>
    <col width="34" customWidth="1" style="37" min="1" max="1"/>
    <col width="30" customWidth="1" style="37" min="2" max="2"/>
    <col width="34" customWidth="1" style="37" min="3" max="3"/>
    <col width="36" customWidth="1" style="37" min="4" max="4"/>
    <col width="26" customWidth="1" style="37" min="5" max="5"/>
    <col width="38" customWidth="1" style="37" min="6" max="6"/>
  </cols>
  <sheetData>
    <row r="1">
      <c r="A1" s="76" t="inlineStr">
        <is>
          <t>Attack path — where the enabler risks lead</t>
        </is>
      </c>
    </row>
    <row r="2" ht="44" customHeight="1" s="37">
      <c r="A2" s="77" t="inlineStr">
        <is>
          <t>Route 2 rates each risk at the consequence it DIRECTLY achieves. The escalation chains that rating removes from the consequence column are carried here instead, so the link to the fatality scenarios stays visible and auditable. Nothing has been dropped; it has been moved to where it can be reasoned about as a path.</t>
        </is>
      </c>
    </row>
    <row r="4">
      <c r="A4" s="78" t="inlineStr">
        <is>
          <t>Enabler</t>
        </is>
      </c>
      <c r="B4" s="78" t="inlineStr">
        <is>
          <t>Directly achieves</t>
        </is>
      </c>
      <c r="C4" s="78" t="inlineStr">
        <is>
          <t>Next step required</t>
        </is>
      </c>
      <c r="D4" s="78" t="inlineStr">
        <is>
          <t>Control standing in the way</t>
        </is>
      </c>
      <c r="E4" s="78" t="inlineStr">
        <is>
          <t>Ends at</t>
        </is>
      </c>
      <c r="F4" s="78" t="inlineStr">
        <is>
          <t>Breaks if</t>
        </is>
      </c>
    </row>
    <row r="5" ht="58" customHeight="1" s="37">
      <c r="A5" s="63" t="inlineStr">
        <is>
          <t>R-12 Auxiliaries PLC as pivot</t>
        </is>
      </c>
      <c r="B5" s="63" t="inlineStr">
        <is>
          <t>S-08 loss of auxiliaries (4)</t>
        </is>
      </c>
      <c r="C5" s="63" t="inlineStr">
        <is>
          <t>Cross C-03 into Z-02</t>
        </is>
      </c>
      <c r="D5" s="63" t="inlineStr">
        <is>
          <t>C-03 boundary; CRS-011 write allow-list</t>
        </is>
      </c>
      <c r="E5" s="63" t="inlineStr">
        <is>
          <t>S-01 machine loss (5)</t>
        </is>
      </c>
      <c r="F5" s="63" t="inlineStr">
        <is>
          <t>CRS-011 is delivered as an unrestricted permit rule</t>
        </is>
      </c>
    </row>
    <row r="6" ht="58" customHeight="1" s="37">
      <c r="A6" s="63" t="inlineStr">
        <is>
          <t>R-17 Operator credentials</t>
        </is>
      </c>
      <c r="B6" s="63" t="inlineStr">
        <is>
          <t>S-05 loss of generation (4)</t>
        </is>
      </c>
      <c r="C6" s="63" t="inlineStr">
        <is>
          <t>Reuse credential against the governor programming interface</t>
        </is>
      </c>
      <c r="D6" s="63" t="inlineStr">
        <is>
          <t>CRS-008 per-user authentication on the programming interface</t>
        </is>
      </c>
      <c r="E6" s="63" t="inlineStr">
        <is>
          <t>S-01 machine loss (5)</t>
        </is>
      </c>
      <c r="F6" s="63" t="inlineStr">
        <is>
          <t>The governor keeps a shared engineering account</t>
        </is>
      </c>
    </row>
    <row r="7" ht="58" customHeight="1" s="37">
      <c r="A7" s="63" t="inlineStr">
        <is>
          <t>R-20 Historian exfiltration</t>
        </is>
      </c>
      <c r="B7" s="63" t="inlineStr">
        <is>
          <t>S-09 regulatory / disclosure (3)</t>
        </is>
      </c>
      <c r="C7" s="63" t="inlineStr">
        <is>
          <t>Use settings and diagrams to target R-05 and R-19</t>
        </is>
      </c>
      <c r="D7" s="63" t="inlineStr">
        <is>
          <t>None — this is reconnaissance, not access</t>
        </is>
      </c>
      <c r="E7" s="63" t="inlineStr">
        <is>
          <t>Shortens the path to S-01, S-04</t>
        </is>
      </c>
      <c r="F7" s="63" t="inlineStr">
        <is>
          <t>Never; this risk has no failure mode of its own, only a contribution</t>
        </is>
      </c>
    </row>
    <row r="8" ht="58" customHeight="1" s="37">
      <c r="A8" s="63" t="inlineStr">
        <is>
          <t>R-26 Contaminated maintenance laptop</t>
        </is>
      </c>
      <c r="B8" s="63" t="inlineStr">
        <is>
          <t>S-05 loss of generation (4)</t>
        </is>
      </c>
      <c r="C8" s="63" t="inlineStr">
        <is>
          <t>Deliberate process manipulation from inside the zone</t>
        </is>
      </c>
      <c r="D8" s="63" t="inlineStr">
        <is>
          <t>CRS-009 hydraulic closure-rate limit; GC-2 independent trip</t>
        </is>
      </c>
      <c r="E8" s="63" t="inlineStr">
        <is>
          <t>S-01 / S-02 (5)</t>
        </is>
      </c>
      <c r="F8" s="63" t="inlineStr">
        <is>
          <t>A-01 is false, or CRS-009 is enforced in governor logic</t>
        </is>
      </c>
    </row>
    <row r="9" ht="58" customHeight="1" s="37">
      <c r="A9" s="63" t="inlineStr">
        <is>
          <t>R-35 Control centre link abuse</t>
        </is>
      </c>
      <c r="B9" s="63" t="inlineStr">
        <is>
          <t>S-05 loss of generation (4)</t>
        </is>
      </c>
      <c r="C9" s="63" t="inlineStr">
        <is>
          <t>Combine with protection defeat (R-01)</t>
        </is>
      </c>
      <c r="D9" s="63" t="inlineStr">
        <is>
          <t>CRS-007 no remote path to Z-01 management</t>
        </is>
      </c>
      <c r="E9" s="63" t="inlineStr">
        <is>
          <t>S-01 machine loss (5)</t>
        </is>
      </c>
      <c r="F9" s="63" t="inlineStr">
        <is>
          <t>CRS-007 is traded away for vendor remote setting change</t>
        </is>
      </c>
    </row>
    <row r="10" ht="58" customHeight="1" s="37">
      <c r="A10" s="63" t="inlineStr">
        <is>
          <t>R-38 Supervisory-to-unit-control writes</t>
        </is>
      </c>
      <c r="B10" s="63" t="inlineStr">
        <is>
          <t>S-05 loss of generation (4)</t>
        </is>
      </c>
      <c r="C10" s="63" t="inlineStr">
        <is>
          <t>Drive the machine past a mechanical limit</t>
        </is>
      </c>
      <c r="D10" s="63" t="inlineStr">
        <is>
          <t>GC-2 hardwired overspeed trip; CRS-009 orifice</t>
        </is>
      </c>
      <c r="E10" s="63" t="inlineStr">
        <is>
          <t>S-01 machine loss (5)</t>
        </is>
      </c>
      <c r="F10" s="63" t="inlineStr">
        <is>
          <t>A-01 is false</t>
        </is>
      </c>
    </row>
    <row r="11" ht="58" customHeight="1" s="37">
      <c r="A11" s="63" t="inlineStr">
        <is>
          <t>R-39 Transient physical connection</t>
        </is>
      </c>
      <c r="B11" s="63" t="inlineStr">
        <is>
          <t>S-05 loss of generation (4)</t>
        </is>
      </c>
      <c r="C11" s="63" t="inlineStr">
        <is>
          <t>Drive the machine past a mechanical limit</t>
        </is>
      </c>
      <c r="D11" s="63" t="inlineStr">
        <is>
          <t>GC-2 hardwired overspeed trip; CRS-009 orifice</t>
        </is>
      </c>
      <c r="E11" s="63" t="inlineStr">
        <is>
          <t>S-01 / S-02 (5)</t>
        </is>
      </c>
      <c r="F11" s="63" t="inlineStr">
        <is>
          <t>A-01 is false, or CRS-009 is enforced in governor logic</t>
        </is>
      </c>
    </row>
    <row r="13">
      <c r="A13" s="76" t="inlineStr">
        <is>
          <t>THE SINGLE POINT THIS SHEET DEPENDS ON</t>
        </is>
      </c>
    </row>
    <row r="14" ht="32" customHeight="1" s="37">
      <c r="A14" s="79" t="inlineStr">
        <is>
          <t>Five of the seven chains above are stopped by the same two things: the hardwired overspeed trip (assumption A-01, contracted as GC-2) and the hydraulic closure-rate limit (CRS-009, required to sit outside programmable logic).</t>
        </is>
      </c>
    </row>
    <row r="15" ht="32" customHeight="1" s="37">
      <c r="A15" s="79" t="inlineStr">
        <is>
          <t>That makes A-01 the most load-bearing assumption in the whole assessment. If it is false, six risks return to consequence 5, the Extreme band goes back to 17, and Z-02's target security level rises to SL 4.</t>
        </is>
      </c>
    </row>
    <row r="16" ht="32" customHeight="1" s="37">
      <c r="A16" s="79" t="inlineStr">
        <is>
          <t>A-01 is therefore not a footnote. It is the first thing to verify on site, by witnessing an overspeed test with the governor de-energised — and until it is verified, this register is conditional.</t>
        </is>
      </c>
    </row>
  </sheetData>
  <mergeCells count="4">
    <mergeCell ref="A2:F2"/>
    <mergeCell ref="A16:F16"/>
    <mergeCell ref="A14:F14"/>
    <mergeCell ref="A15:F15"/>
  </mergeCells>
  <pageMargins left="0.75" right="0.75" top="1" bottom="1" header="0.5" footer="0.5"/>
</worksheet>
</file>

<file path=xl/worksheets/sheet8.xml><?xml version="1.0" encoding="utf-8"?>
<worksheet xmlns="http://schemas.openxmlformats.org/spreadsheetml/2006/main">
  <sheetPr filterMode="0">
    <outlinePr summaryBelow="1" summaryRight="1"/>
    <pageSetUpPr fitToPage="0"/>
  </sheetPr>
  <dimension ref="A1:I36"/>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9" customWidth="1" style="36" min="1" max="1"/>
    <col width="10" customWidth="1" style="36" min="2" max="2"/>
    <col width="16" customWidth="1" style="36" min="3" max="3"/>
    <col width="72" customWidth="1" style="36" min="4" max="4"/>
    <col width="18" customWidth="1" style="36" min="5" max="6"/>
    <col width="14" customWidth="1" style="36" min="7" max="7"/>
    <col width="12" customWidth="1" style="36" min="8" max="8"/>
    <col width="11" customWidth="1" style="37" min="9" max="9"/>
  </cols>
  <sheetData>
    <row r="1" ht="17.25" customHeight="1" s="37">
      <c r="A1" s="38" t="inlineStr">
        <is>
          <t>Treatment plan</t>
        </is>
      </c>
    </row>
    <row r="2" ht="15" customHeight="1" s="37">
      <c r="A2" s="39" t="inlineStr">
        <is>
          <t>Every risk whose residual band is Extreme or High, or which trips the ZCR 4 life-safety override. ORDER THIS SHEET ON COLUMN I, PRIORITY SCORE (consequence x residual likelihood) — that is the answer to 'what do I fund first'. The life-safety override in column C is a separate constraint: those rows may not be deferred on likelihood grounds no matter where they rank.</t>
        </is>
      </c>
    </row>
    <row r="4" ht="31.5" customHeight="1" s="37">
      <c r="A4" s="60" t="inlineStr">
        <is>
          <t>Risk ID</t>
        </is>
      </c>
      <c r="B4" s="60" t="inlineStr">
        <is>
          <t>Residual
band</t>
        </is>
      </c>
      <c r="C4" s="60" t="inlineStr">
        <is>
          <t>Treatment
required?</t>
        </is>
      </c>
      <c r="D4" s="60" t="inlineStr">
        <is>
          <t>Proposed treatment</t>
        </is>
      </c>
      <c r="E4" s="60" t="inlineStr">
        <is>
          <t>Acts on</t>
        </is>
      </c>
      <c r="F4" s="60" t="inlineStr">
        <is>
          <t>Authority to accept
if untreated</t>
        </is>
      </c>
      <c r="G4" s="60" t="inlineStr">
        <is>
          <t>Owner</t>
        </is>
      </c>
      <c r="H4" s="60" t="inlineStr">
        <is>
          <t>Target</t>
        </is>
      </c>
      <c r="I4" s="60" t="inlineStr">
        <is>
          <t>Priority
score</t>
        </is>
      </c>
    </row>
    <row r="5" ht="43.5" customHeight="1" s="37">
      <c r="A5" s="45" t="inlineStr">
        <is>
          <t>R-22</t>
        </is>
      </c>
      <c r="B5" s="45">
        <f>'Risk register'!O26</f>
        <v/>
      </c>
      <c r="C5" s="45">
        <f>'Risk register'!P26</f>
        <v/>
      </c>
      <c r="D5" s="63" t="inlineStr">
        <is>
          <t>Intrusion detection and camera at the intake; tamper alarm on the RTU enclosure reported to the control centre; command validation at the RTU against independently sensed level so a single falsified input cannot move a gate.</t>
        </is>
      </c>
      <c r="E5" s="63" t="inlineStr">
        <is>
          <t>Detection + design</t>
        </is>
      </c>
      <c r="F5" s="63" t="inlineStr">
        <is>
          <t>Board</t>
        </is>
      </c>
      <c r="G5" s="62" t="n"/>
      <c r="H5" s="62" t="n"/>
      <c r="I5" s="64">
        <f>'Risk register'!U26</f>
        <v/>
      </c>
    </row>
    <row r="6" ht="43.5" customHeight="1" s="37">
      <c r="A6" s="45" t="inlineStr">
        <is>
          <t>R-32</t>
        </is>
      </c>
      <c r="B6" s="45">
        <f>'Risk register'!O36</f>
        <v/>
      </c>
      <c r="C6" s="45">
        <f>'Risk register'!P36</f>
        <v/>
      </c>
      <c r="D6" s="63" t="inlineStr">
        <is>
          <t>Per-individual named vendor accounts; phishing-resistant MFA (CIRMP s8B); just-in-time time-boxed approval tied to a work order with an operator enabling the session; full session recording with mid-session termination.</t>
        </is>
      </c>
      <c r="E6" s="63" t="inlineStr">
        <is>
          <t>Access</t>
        </is>
      </c>
      <c r="F6" s="63" t="inlineStr">
        <is>
          <t>Board</t>
        </is>
      </c>
      <c r="G6" s="62" t="n"/>
      <c r="H6" s="62" t="n"/>
      <c r="I6" s="64">
        <f>'Risk register'!U36</f>
        <v/>
      </c>
    </row>
    <row r="7" ht="43.5" customHeight="1" s="37">
      <c r="A7" s="45" t="inlineStr">
        <is>
          <t>R-18</t>
        </is>
      </c>
      <c r="B7" s="45">
        <f>'Risk register'!O22</f>
        <v/>
      </c>
      <c r="C7" s="45">
        <f>'Risk register'!P22</f>
        <v/>
      </c>
      <c r="D7" s="63" t="inlineStr">
        <is>
          <t>Off-site immutable backup outside the plant domain and unreachable from the engineering workstation; quarterly restore test to a known-good state; recovery time measured, not assumed.</t>
        </is>
      </c>
      <c r="E7" s="63" t="inlineStr">
        <is>
          <t>Recovery</t>
        </is>
      </c>
      <c r="F7" s="63" t="inlineStr">
        <is>
          <t>Board</t>
        </is>
      </c>
      <c r="G7" s="62" t="n"/>
      <c r="H7" s="62" t="n"/>
      <c r="I7" s="64">
        <f>'Risk register'!U22</f>
        <v/>
      </c>
    </row>
    <row r="8" ht="43.5" customHeight="1" s="37">
      <c r="A8" s="45" t="inlineStr">
        <is>
          <t>R-26</t>
        </is>
      </c>
      <c r="B8" s="45">
        <f>'Risk register'!O30</f>
        <v/>
      </c>
      <c r="C8" s="45">
        <f>'Risk register'!P30</f>
        <v/>
      </c>
      <c r="D8" s="63" t="inlineStr">
        <is>
          <t>Dedicated site-controlled laptops; pre-connection scanning; 802.1X or port security on control-zone switches; spare ports administratively disabled.</t>
        </is>
      </c>
      <c r="E8" s="63" t="inlineStr">
        <is>
          <t>Access</t>
        </is>
      </c>
      <c r="F8" s="63" t="inlineStr">
        <is>
          <t>Board</t>
        </is>
      </c>
      <c r="G8" s="62" t="n"/>
      <c r="H8" s="62" t="n"/>
      <c r="I8" s="64">
        <f>'Risk register'!U30</f>
        <v/>
      </c>
    </row>
    <row r="9" ht="43.5" customHeight="1" s="37">
      <c r="A9" s="45" t="inlineStr">
        <is>
          <t>R-30</t>
        </is>
      </c>
      <c r="B9" s="45">
        <f>'Risk register'!O34</f>
        <v/>
      </c>
      <c r="C9" s="45">
        <f>'Risk register'!P34</f>
        <v/>
      </c>
      <c r="D9" s="63" t="inlineStr">
        <is>
          <t>Automated comparison of implemented firewall flows against the conduit register, run weekly; any drift raised as a finding.</t>
        </is>
      </c>
      <c r="E9" s="63" t="inlineStr">
        <is>
          <t>Detection</t>
        </is>
      </c>
      <c r="F9" s="63" t="inlineStr">
        <is>
          <t>Board</t>
        </is>
      </c>
      <c r="G9" s="62" t="n"/>
      <c r="H9" s="62" t="n"/>
      <c r="I9" s="64">
        <f>'Risk register'!U34</f>
        <v/>
      </c>
    </row>
    <row r="10" ht="43.5" customHeight="1" s="37">
      <c r="A10" s="45" t="inlineStr">
        <is>
          <t>R-39</t>
        </is>
      </c>
      <c r="B10" s="45">
        <f>'Risk register'!O43</f>
        <v/>
      </c>
      <c r="C10" s="45">
        <f>'Risk register'!P43</f>
        <v/>
      </c>
      <c r="D10" s="63" t="inlineStr">
        <is>
          <t>802.1X or port security on control-zone switches; physical port locks in cabinets; connection log.</t>
        </is>
      </c>
      <c r="E10" s="63" t="inlineStr">
        <is>
          <t>Access</t>
        </is>
      </c>
      <c r="F10" s="63" t="inlineStr">
        <is>
          <t>Board</t>
        </is>
      </c>
      <c r="G10" s="62" t="n"/>
      <c r="H10" s="62" t="n"/>
      <c r="I10" s="64">
        <f>'Risk register'!U43</f>
        <v/>
      </c>
    </row>
    <row r="11" ht="43.5" customHeight="1" s="37">
      <c r="A11" s="45" t="inlineStr">
        <is>
          <t>R-36</t>
        </is>
      </c>
      <c r="B11" s="45">
        <f>'Risk register'!O40</f>
        <v/>
      </c>
      <c r="C11" s="45">
        <f>'Risk register'!P40</f>
        <v/>
      </c>
      <c r="D11" s="63" t="inlineStr">
        <is>
          <t>Segregation supporting independent operation (CIRMP s8C); remove the inbound trust from corporate for identity and patching, or broker it; test the islanded mode.</t>
        </is>
      </c>
      <c r="E11" s="63" t="inlineStr">
        <is>
          <t>Design</t>
        </is>
      </c>
      <c r="F11" s="63" t="inlineStr">
        <is>
          <t>Board</t>
        </is>
      </c>
      <c r="G11" s="62" t="n"/>
      <c r="H11" s="62" t="n"/>
      <c r="I11" s="64">
        <f>'Risk register'!U40</f>
        <v/>
      </c>
    </row>
    <row r="12" ht="43.5" customHeight="1" s="37">
      <c r="A12" s="45" t="inlineStr">
        <is>
          <t>R-01</t>
        </is>
      </c>
      <c r="B12" s="45">
        <f>'Risk register'!O5</f>
        <v/>
      </c>
      <c r="C12" s="45">
        <f>'Risk register'!P5</f>
        <v/>
      </c>
      <c r="D12" s="63" t="inlineStr">
        <is>
          <t>Independent verification of relay settings against an approved schedule after every change; setting-change alerting to the control centre; per-user authentication on relay management.</t>
        </is>
      </c>
      <c r="E12" s="63" t="inlineStr">
        <is>
          <t>Management interface</t>
        </is>
      </c>
      <c r="F12" s="63" t="inlineStr">
        <is>
          <t>Executive</t>
        </is>
      </c>
      <c r="G12" s="62" t="n"/>
      <c r="H12" s="62" t="n"/>
      <c r="I12" s="64">
        <f>'Risk register'!U5</f>
        <v/>
      </c>
    </row>
    <row r="13" ht="43.5" customHeight="1" s="37">
      <c r="A13" s="45" t="inlineStr">
        <is>
          <t>R-02</t>
        </is>
      </c>
      <c r="B13" s="45">
        <f>'Risk register'!O6</f>
        <v/>
      </c>
      <c r="C13" s="45">
        <f>'Risk register'!P6</f>
        <v/>
      </c>
      <c r="D13" s="63" t="inlineStr">
        <is>
          <t>Alarm out-of-service state to the control centre; periodic automated confirmation that trip outputs are enabled. NOTE: no control may be placed in the trip path itself.</t>
        </is>
      </c>
      <c r="E13" s="63" t="inlineStr">
        <is>
          <t>Detection</t>
        </is>
      </c>
      <c r="F13" s="63" t="inlineStr">
        <is>
          <t>Executive</t>
        </is>
      </c>
      <c r="G13" s="62" t="n"/>
      <c r="H13" s="62" t="n"/>
      <c r="I13" s="64">
        <f>'Risk register'!U6</f>
        <v/>
      </c>
    </row>
    <row r="14" ht="43.5" customHeight="1" s="37">
      <c r="A14" s="45" t="inlineStr">
        <is>
          <t>R-05</t>
        </is>
      </c>
      <c r="B14" s="45">
        <f>'Risk register'!O9</f>
        <v/>
      </c>
      <c r="C14" s="45">
        <f>'Risk register'!P9</f>
        <v/>
      </c>
      <c r="D14" s="63" t="inlineStr">
        <is>
          <t>Confirm assumption A-01 by inspection. Per-user authentication on the governor programming interface; integrity check of logic after download against a golden copy.</t>
        </is>
      </c>
      <c r="E14" s="63" t="inlineStr">
        <is>
          <t>Management interface</t>
        </is>
      </c>
      <c r="F14" s="63" t="inlineStr">
        <is>
          <t>Executive</t>
        </is>
      </c>
      <c r="G14" s="62" t="n"/>
      <c r="H14" s="62" t="n"/>
      <c r="I14" s="64">
        <f>'Risk register'!U9</f>
        <v/>
      </c>
    </row>
    <row r="15" ht="43.5" customHeight="1" s="37">
      <c r="A15" s="45" t="inlineStr">
        <is>
          <t>R-06</t>
        </is>
      </c>
      <c r="B15" s="45">
        <f>'Risk register'!O10</f>
        <v/>
      </c>
      <c r="C15" s="45">
        <f>'Risk register'!P10</f>
        <v/>
      </c>
      <c r="D15" s="63" t="inlineStr">
        <is>
          <t>Establish where the closure-rate limit is enforced. If software-only, add an independent mechanical or hardwired limit.</t>
        </is>
      </c>
      <c r="E15" s="63" t="inlineStr">
        <is>
          <t>Design</t>
        </is>
      </c>
      <c r="F15" s="63" t="inlineStr">
        <is>
          <t>Executive</t>
        </is>
      </c>
      <c r="G15" s="62" t="n"/>
      <c r="H15" s="62" t="n"/>
      <c r="I15" s="64">
        <f>'Risk register'!U10</f>
        <v/>
      </c>
    </row>
    <row r="16" ht="43.5" customHeight="1" s="37">
      <c r="A16" s="45" t="inlineStr">
        <is>
          <t>R-12</t>
        </is>
      </c>
      <c r="B16" s="45">
        <f>'Risk register'!O16</f>
        <v/>
      </c>
      <c r="C16" s="45">
        <f>'Risk register'!P16</f>
        <v/>
      </c>
      <c r="D16" s="63" t="inlineStr">
        <is>
          <t>Restrict conduit C-03 to the permissive exchange only; deny general traffic between Z-03 and Z-02.</t>
        </is>
      </c>
      <c r="E16" s="63" t="inlineStr">
        <is>
          <t>Design</t>
        </is>
      </c>
      <c r="F16" s="63" t="inlineStr">
        <is>
          <t>Executive</t>
        </is>
      </c>
      <c r="G16" s="62" t="n"/>
      <c r="H16" s="62" t="n"/>
      <c r="I16" s="64">
        <f>'Risk register'!U16</f>
        <v/>
      </c>
    </row>
    <row r="17" ht="43.5" customHeight="1" s="37">
      <c r="A17" s="45" t="inlineStr">
        <is>
          <t>R-17</t>
        </is>
      </c>
      <c r="B17" s="45">
        <f>'Risk register'!O21</f>
        <v/>
      </c>
      <c r="C17" s="45">
        <f>'Risk register'!P21</f>
        <v/>
      </c>
      <c r="D17" s="63" t="inlineStr">
        <is>
          <t>Per-individual operator accounts; MFA on the supervisory zone; remove shared credentials.</t>
        </is>
      </c>
      <c r="E17" s="63" t="inlineStr">
        <is>
          <t>Access</t>
        </is>
      </c>
      <c r="F17" s="63" t="inlineStr">
        <is>
          <t>Executive</t>
        </is>
      </c>
      <c r="G17" s="62" t="n"/>
      <c r="H17" s="62" t="n"/>
      <c r="I17" s="64">
        <f>'Risk register'!U21</f>
        <v/>
      </c>
    </row>
    <row r="18" ht="43.5" customHeight="1" s="37">
      <c r="A18" s="45" t="inlineStr">
        <is>
          <t>R-19</t>
        </is>
      </c>
      <c r="B18" s="45">
        <f>'Risk register'!O23</f>
        <v/>
      </c>
      <c r="C18" s="45">
        <f>'Risk register'!P23</f>
        <v/>
      </c>
      <c r="D18" s="63" t="inlineStr">
        <is>
          <t>Sign or hash project files; golden-copy comparison before every download.</t>
        </is>
      </c>
      <c r="E18" s="63" t="inlineStr">
        <is>
          <t>Design</t>
        </is>
      </c>
      <c r="F18" s="63" t="inlineStr">
        <is>
          <t>Executive</t>
        </is>
      </c>
      <c r="G18" s="62" t="n"/>
      <c r="H18" s="62" t="n"/>
      <c r="I18" s="64">
        <f>'Risk register'!U23</f>
        <v/>
      </c>
    </row>
    <row r="19" ht="43.5" customHeight="1" s="37">
      <c r="A19" s="45" t="inlineStr">
        <is>
          <t>R-21</t>
        </is>
      </c>
      <c r="B19" s="45">
        <f>'Risk register'!O25</f>
        <v/>
      </c>
      <c r="C19" s="45">
        <f>'Risk register'!P25</f>
        <v/>
      </c>
      <c r="D19" s="63" t="inlineStr">
        <is>
          <t>Separate the engineering toolchain from the historian host; separation of duty between relay, governor and PLC programming.</t>
        </is>
      </c>
      <c r="E19" s="63" t="inlineStr">
        <is>
          <t>Design</t>
        </is>
      </c>
      <c r="F19" s="63" t="inlineStr">
        <is>
          <t>Executive</t>
        </is>
      </c>
      <c r="G19" s="62" t="n"/>
      <c r="H19" s="62" t="n"/>
      <c r="I19" s="64">
        <f>'Risk register'!U25</f>
        <v/>
      </c>
    </row>
    <row r="20" ht="43.5" customHeight="1" s="37">
      <c r="A20" s="45" t="inlineStr">
        <is>
          <t>R-23</t>
        </is>
      </c>
      <c r="B20" s="45">
        <f>'Risk register'!O27</f>
        <v/>
      </c>
      <c r="C20" s="45">
        <f>'Risk register'!P27</f>
        <v/>
      </c>
      <c r="D20" s="63" t="inlineStr">
        <is>
          <t>Confirm RTU support for DNP3 Secure Authentication. If unsupported, treat as a procurement item — SL-T 3 is not achievable by configuration.</t>
        </is>
      </c>
      <c r="E20" s="63" t="inlineStr">
        <is>
          <t>Design</t>
        </is>
      </c>
      <c r="F20" s="63" t="inlineStr">
        <is>
          <t>Executive</t>
        </is>
      </c>
      <c r="G20" s="62" t="n"/>
      <c r="H20" s="62" t="n"/>
      <c r="I20" s="64">
        <f>'Risk register'!U27</f>
        <v/>
      </c>
    </row>
    <row r="21" ht="43.5" customHeight="1" s="37">
      <c r="A21" s="45" t="inlineStr">
        <is>
          <t>R-24</t>
        </is>
      </c>
      <c r="B21" s="45">
        <f>'Risk register'!O28</f>
        <v/>
      </c>
      <c r="C21" s="45">
        <f>'Risk register'!P28</f>
        <v/>
      </c>
      <c r="D21" s="63" t="inlineStr">
        <is>
          <t>Second independent level source with a divergence alarm.</t>
        </is>
      </c>
      <c r="E21" s="63" t="inlineStr">
        <is>
          <t>Design</t>
        </is>
      </c>
      <c r="F21" s="63" t="inlineStr">
        <is>
          <t>Executive</t>
        </is>
      </c>
      <c r="G21" s="62" t="n"/>
      <c r="H21" s="62" t="n"/>
      <c r="I21" s="64">
        <f>'Risk register'!U28</f>
        <v/>
      </c>
    </row>
    <row r="22" ht="43.5" customHeight="1" s="37">
      <c r="A22" s="45" t="inlineStr">
        <is>
          <t>R-25</t>
        </is>
      </c>
      <c r="B22" s="45">
        <f>'Risk register'!O29</f>
        <v/>
      </c>
      <c r="C22" s="45">
        <f>'Risk register'!P29</f>
        <v/>
      </c>
      <c r="D22" s="63" t="inlineStr">
        <is>
          <t>Per-device certificate on the cellular path; bring the standby path up only on demand.</t>
        </is>
      </c>
      <c r="E22" s="63" t="inlineStr">
        <is>
          <t>Access</t>
        </is>
      </c>
      <c r="F22" s="63" t="inlineStr">
        <is>
          <t>Executive</t>
        </is>
      </c>
      <c r="G22" s="62" t="n"/>
      <c r="H22" s="62" t="n"/>
      <c r="I22" s="64">
        <f>'Risk register'!U29</f>
        <v/>
      </c>
    </row>
    <row r="23" ht="43.5" customHeight="1" s="37">
      <c r="A23" s="45" t="inlineStr">
        <is>
          <t>R-27</t>
        </is>
      </c>
      <c r="B23" s="45">
        <f>'Risk register'!O31</f>
        <v/>
      </c>
      <c r="C23" s="45">
        <f>'Risk register'!P31</f>
        <v/>
      </c>
      <c r="D23" s="63" t="inlineStr">
        <is>
          <t>Media sanitisation station; USB port control on the engineering workstation.</t>
        </is>
      </c>
      <c r="E23" s="63" t="inlineStr">
        <is>
          <t>Access</t>
        </is>
      </c>
      <c r="F23" s="63" t="inlineStr">
        <is>
          <t>Executive</t>
        </is>
      </c>
      <c r="G23" s="62" t="n"/>
      <c r="H23" s="62" t="n"/>
      <c r="I23" s="64">
        <f>'Risk register'!U31</f>
        <v/>
      </c>
    </row>
    <row r="24" ht="43.5" customHeight="1" s="37">
      <c r="A24" s="45" t="inlineStr">
        <is>
          <t>R-28</t>
        </is>
      </c>
      <c r="B24" s="45">
        <f>'Risk register'!O32</f>
        <v/>
      </c>
      <c r="C24" s="45">
        <f>'Risk register'!P32</f>
        <v/>
      </c>
      <c r="D24" s="63" t="inlineStr">
        <is>
          <t>Enable session recording on the jump host; reduce its reachable set to one asset and one protocol per session.</t>
        </is>
      </c>
      <c r="E24" s="63" t="inlineStr">
        <is>
          <t>Access</t>
        </is>
      </c>
      <c r="F24" s="63" t="inlineStr">
        <is>
          <t>Executive</t>
        </is>
      </c>
      <c r="G24" s="62" t="n"/>
      <c r="H24" s="62" t="n"/>
      <c r="I24" s="64">
        <f>'Risk register'!U32</f>
        <v/>
      </c>
    </row>
    <row r="25" ht="43.5" customHeight="1" s="37">
      <c r="A25" s="45" t="inlineStr">
        <is>
          <t>R-29</t>
        </is>
      </c>
      <c r="B25" s="45">
        <f>'Risk register'!O33</f>
        <v/>
      </c>
      <c r="C25" s="45">
        <f>'Risk register'!P33</f>
        <v/>
      </c>
      <c r="D25" s="63" t="inlineStr">
        <is>
          <t>Decouple DMZ patch cadence from the plant outage window; virtual patching at the firewall between cycles.</t>
        </is>
      </c>
      <c r="E25" s="63" t="inlineStr">
        <is>
          <t>Design</t>
        </is>
      </c>
      <c r="F25" s="63" t="inlineStr">
        <is>
          <t>Executive</t>
        </is>
      </c>
      <c r="G25" s="62" t="n"/>
      <c r="H25" s="62" t="n"/>
      <c r="I25" s="64">
        <f>'Risk register'!U33</f>
        <v/>
      </c>
    </row>
    <row r="26" ht="43.5" customHeight="1" s="37">
      <c r="A26" s="45" t="inlineStr">
        <is>
          <t>R-31</t>
        </is>
      </c>
      <c r="B26" s="45">
        <f>'Risk register'!O35</f>
        <v/>
      </c>
      <c r="C26" s="45">
        <f>'Risk register'!P35</f>
        <v/>
      </c>
      <c r="D26" s="63" t="inlineStr">
        <is>
          <t>62443-2-4 obligations in the service contract; vendor security assessment against 4-1; right to audit; vulnerability disclosure and patch-support commitments.</t>
        </is>
      </c>
      <c r="E26" s="63" t="inlineStr">
        <is>
          <t>Contract</t>
        </is>
      </c>
      <c r="F26" s="63" t="inlineStr">
        <is>
          <t>Executive</t>
        </is>
      </c>
      <c r="G26" s="62" t="n"/>
      <c r="H26" s="62" t="n"/>
      <c r="I26" s="64">
        <f>'Risk register'!U35</f>
        <v/>
      </c>
    </row>
    <row r="27" ht="43.5" customHeight="1" s="37">
      <c r="A27" s="45" t="inlineStr">
        <is>
          <t>R-33</t>
        </is>
      </c>
      <c r="B27" s="45">
        <f>'Risk register'!O37</f>
        <v/>
      </c>
      <c r="C27" s="45">
        <f>'Risk register'!P37</f>
        <v/>
      </c>
      <c r="D27" s="63" t="inlineStr">
        <is>
          <t>Cryptographic authentication on the link; command validation at the receiving end rather than trust in the sender.</t>
        </is>
      </c>
      <c r="E27" s="63" t="inlineStr">
        <is>
          <t>Design</t>
        </is>
      </c>
      <c r="F27" s="63" t="inlineStr">
        <is>
          <t>Executive</t>
        </is>
      </c>
      <c r="G27" s="62" t="n"/>
      <c r="H27" s="62" t="n"/>
      <c r="I27" s="64">
        <f>'Risk register'!U37</f>
        <v/>
      </c>
    </row>
    <row r="28" ht="43.5" customHeight="1" s="37">
      <c r="A28" s="45" t="inlineStr">
        <is>
          <t>R-35</t>
        </is>
      </c>
      <c r="B28" s="45">
        <f>'Risk register'!O39</f>
        <v/>
      </c>
      <c r="C28" s="45">
        <f>'Risk register'!P39</f>
        <v/>
      </c>
      <c r="D28" s="63" t="inlineStr">
        <is>
          <t>Assess the control centre as a SUC in its own right, or bring it inside this one. The boundary currently creates an unassessed trusted path.</t>
        </is>
      </c>
      <c r="E28" s="63" t="inlineStr">
        <is>
          <t>Governance</t>
        </is>
      </c>
      <c r="F28" s="63" t="inlineStr">
        <is>
          <t>Executive</t>
        </is>
      </c>
      <c r="G28" s="62" t="n"/>
      <c r="H28" s="62" t="n"/>
      <c r="I28" s="64">
        <f>'Risk register'!U39</f>
        <v/>
      </c>
    </row>
    <row r="29" ht="43.5" customHeight="1" s="37">
      <c r="A29" s="45" t="inlineStr">
        <is>
          <t>R-38</t>
        </is>
      </c>
      <c r="B29" s="45">
        <f>'Risk register'!O42</f>
        <v/>
      </c>
      <c r="C29" s="45">
        <f>'Risk register'!P42</f>
        <v/>
      </c>
      <c r="D29" s="63" t="inlineStr">
        <is>
          <t>Restrict writes across C-02 to an allow-list of tags; rate-limit command frequency.</t>
        </is>
      </c>
      <c r="E29" s="63" t="inlineStr">
        <is>
          <t>Design</t>
        </is>
      </c>
      <c r="F29" s="63" t="inlineStr">
        <is>
          <t>Executive</t>
        </is>
      </c>
      <c r="G29" s="62" t="n"/>
      <c r="H29" s="62" t="n"/>
      <c r="I29" s="64">
        <f>'Risk register'!U42</f>
        <v/>
      </c>
    </row>
    <row r="30" ht="43.5" customHeight="1" s="37">
      <c r="A30" s="45" t="inlineStr">
        <is>
          <t>R-07</t>
        </is>
      </c>
      <c r="B30" s="45">
        <f>'Risk register'!O11</f>
        <v/>
      </c>
      <c r="C30" s="45">
        <f>'Risk register'!P11</f>
        <v/>
      </c>
      <c r="D30" s="63" t="inlineStr">
        <is>
          <t>Alarm PLC mode change to the control centre; keyswitch discipline in the operating procedure.</t>
        </is>
      </c>
      <c r="E30" s="63" t="inlineStr">
        <is>
          <t>Detection</t>
        </is>
      </c>
      <c r="F30" s="63" t="inlineStr">
        <is>
          <t>Executive</t>
        </is>
      </c>
      <c r="G30" s="62" t="n"/>
      <c r="H30" s="62" t="n"/>
      <c r="I30" s="64">
        <f>'Risk register'!U11</f>
        <v/>
      </c>
    </row>
    <row r="31" ht="43.5" customHeight="1" s="37">
      <c r="A31" s="45" t="inlineStr">
        <is>
          <t>R-08</t>
        </is>
      </c>
      <c r="B31" s="45">
        <f>'Risk register'!O12</f>
        <v/>
      </c>
      <c r="C31" s="45">
        <f>'Risk register'!P12</f>
        <v/>
      </c>
      <c r="D31" s="63" t="inlineStr">
        <is>
          <t>Authenticate command source at the PLC; restrict write capability to the supervisory gateway.</t>
        </is>
      </c>
      <c r="E31" s="63" t="inlineStr">
        <is>
          <t>Design</t>
        </is>
      </c>
      <c r="F31" s="63" t="inlineStr">
        <is>
          <t>Executive</t>
        </is>
      </c>
      <c r="G31" s="62" t="n"/>
      <c r="H31" s="62" t="n"/>
      <c r="I31" s="64">
        <f>'Risk register'!U12</f>
        <v/>
      </c>
    </row>
    <row r="32" ht="43.5" customHeight="1" s="37">
      <c r="A32" s="45" t="inlineStr">
        <is>
          <t>R-14</t>
        </is>
      </c>
      <c r="B32" s="45">
        <f>'Risk register'!O20</f>
        <v/>
      </c>
      <c r="C32" s="45">
        <f>'Risk register'!P20</f>
        <v/>
      </c>
      <c r="D32" s="63" t="inlineStr">
        <is>
          <t>Log alarm configuration changes to an independent store; alert on threshold widening.</t>
        </is>
      </c>
      <c r="E32" s="63" t="inlineStr">
        <is>
          <t>Detection</t>
        </is>
      </c>
      <c r="F32" s="63" t="inlineStr">
        <is>
          <t>Executive</t>
        </is>
      </c>
      <c r="G32" s="62" t="n"/>
      <c r="H32" s="62" t="n"/>
      <c r="I32" s="64">
        <f>'Risk register'!U18</f>
        <v/>
      </c>
    </row>
    <row r="33" ht="43.5" customHeight="1" s="37">
      <c r="A33" s="45" t="inlineStr">
        <is>
          <t>R-20</t>
        </is>
      </c>
      <c r="B33" s="45">
        <f>'Risk register'!O24</f>
        <v/>
      </c>
      <c r="C33" s="45">
        <f>'Risk register'!P24</f>
        <v/>
      </c>
      <c r="D33" s="63" t="inlineStr">
        <is>
          <t>Encrypt engineering documentation at rest; restrict access to named engineers.</t>
        </is>
      </c>
      <c r="E33" s="63" t="inlineStr">
        <is>
          <t>Access</t>
        </is>
      </c>
      <c r="F33" s="63" t="inlineStr">
        <is>
          <t>Executive</t>
        </is>
      </c>
      <c r="G33" s="62" t="n"/>
      <c r="H33" s="62" t="n"/>
      <c r="I33" s="64">
        <f>'Risk register'!U24</f>
        <v/>
      </c>
    </row>
    <row r="35" ht="15" customHeight="1" s="37">
      <c r="A35" s="74" t="inlineStr">
        <is>
          <t>THE CONSTRAINT THAT OVERRIDES EVERY ROW ABOVE</t>
        </is>
      </c>
    </row>
    <row r="36" ht="57.75" customHeight="1" s="37">
      <c r="A36" s="66" t="inlineStr">
        <is>
          <t>No treatment may be applied inside a protective function. Where a control would reduce risk by inserting itself into the trip path of a protection or safety function it is rejected on principle, however large the risk reduction — a control that can fail closed on a protective function has made the plant less safe. Treatment for R-01, R-02, R-03 and R-04 therefore acts on management interfaces, on access and on detection, never on the protective action itself. This is the direct lesson of TRITON and it belongs verbatim in the CRS.</t>
        </is>
      </c>
    </row>
  </sheetData>
  <mergeCells count="3">
    <mergeCell ref="A36:H36"/>
    <mergeCell ref="A2:H2"/>
    <mergeCell ref="A1:H1"/>
  </mergeCells>
  <conditionalFormatting sqref="B5:B33">
    <cfRule type="cellIs" rank="0" priority="2" equalAverage="0" operator="equal" aboveAverage="0" dxfId="7" text="" percent="0" bottom="0">
      <formula>"E"</formula>
    </cfRule>
    <cfRule type="cellIs" rank="0" priority="3" equalAverage="0" operator="equal" aboveAverage="0" dxfId="8" text="" percent="0" bottom="0">
      <formula>"H"</formula>
    </cfRule>
    <cfRule type="cellIs" rank="0" priority="4" equalAverage="0" operator="equal" aboveAverage="0" dxfId="9" text="" percent="0" bottom="0">
      <formula>"M"</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2026-09-14T10:05:39Z</dcterms:created>
  <dcterms:modified xmlns:dcterms="http://purl.org/dc/terms/" xmlns:xsi="http://www.w3.org/2001/XMLSchema-instance" xsi:type="dcterms:W3CDTF">2026-10-25T16:27:34Z</dcterms:modified>
  <cp:revision>0</cp:revision>
</cp:coreProperties>
</file>