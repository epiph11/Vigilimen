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Scorecard"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0D1519"/>
      <sz val="14"/>
    </font>
    <font>
      <name val="Calibri"/>
      <color rgb="FF47575F"/>
      <sz val="9"/>
    </font>
    <font>
      <name val="Calibri"/>
      <b val="1"/>
      <color rgb="FF0D1519"/>
      <sz val="10"/>
    </font>
    <font>
      <name val="Calibri"/>
      <color rgb="FF0D1519"/>
      <sz val="10"/>
    </font>
    <font>
      <name val="Calibri"/>
      <b val="1"/>
      <color rgb="FF14506E"/>
      <sz val="9"/>
    </font>
    <font>
      <name val="Calibri"/>
      <b val="1"/>
      <color rgb="FF0D1519"/>
      <sz val="11"/>
    </font>
    <font>
      <name val="Calibri"/>
      <b val="1"/>
      <color rgb="FFA85B10"/>
      <sz val="10"/>
    </font>
  </fonts>
  <fills count="5">
    <fill>
      <patternFill/>
    </fill>
    <fill>
      <patternFill patternType="gray125"/>
    </fill>
    <fill>
      <patternFill patternType="solid">
        <fgColor rgb="FFD2E2EB"/>
      </patternFill>
    </fill>
    <fill>
      <patternFill patternType="solid">
        <fgColor rgb="FFFFF7DC"/>
      </patternFill>
    </fill>
    <fill>
      <patternFill patternType="solid">
        <fgColor rgb="FFF6E7D4"/>
      </patternFill>
    </fill>
  </fills>
  <borders count="2">
    <border>
      <left/>
      <right/>
      <top/>
      <bottom/>
      <diagonal/>
    </border>
    <border>
      <left style="thin">
        <color rgb="FFC0CDD4"/>
      </left>
      <right style="thin">
        <color rgb="FFC0CDD4"/>
      </right>
      <top style="thin">
        <color rgb="FFC0CDD4"/>
      </top>
      <bottom style="thin">
        <color rgb="FFC0CDD4"/>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0" pivotButton="0" quotePrefix="0" xfId="0"/>
    <xf numFmtId="0" fontId="2" fillId="0" borderId="0" applyAlignment="1" pivotButton="0" quotePrefix="0" xfId="0">
      <alignment vertical="top" wrapText="1"/>
    </xf>
    <xf numFmtId="0" fontId="5" fillId="2" borderId="1" applyAlignment="1" pivotButton="0" quotePrefix="0" xfId="0">
      <alignment horizontal="center" vertical="top" wrapText="1"/>
    </xf>
    <xf numFmtId="0" fontId="4" fillId="0" borderId="1" applyAlignment="1" pivotButton="0" quotePrefix="0" xfId="0">
      <alignment horizontal="center"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horizontal="center" vertical="top" wrapText="1"/>
    </xf>
    <xf numFmtId="0" fontId="4" fillId="3" borderId="1" applyAlignment="1" pivotButton="0" quotePrefix="0" xfId="0">
      <alignment vertical="top" wrapText="1"/>
    </xf>
    <xf numFmtId="0" fontId="4" fillId="4" borderId="1" applyAlignment="1" pivotButton="0" quotePrefix="0" xfId="0">
      <alignment horizontal="center" vertical="top" wrapText="1"/>
    </xf>
    <xf numFmtId="0" fontId="2" fillId="0" borderId="0" pivotButton="0" quotePrefix="0" xfId="0"/>
    <xf numFmtId="0" fontId="6"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xf>
    <xf numFmtId="0" fontId="4" fillId="0" borderId="1" pivotButton="0" quotePrefix="0" xfId="0"/>
    <xf numFmtId="0" fontId="4" fillId="0" borderId="1" applyAlignment="1" pivotButton="0" quotePrefix="0" xfId="0">
      <alignment horizontal="center"/>
    </xf>
    <xf numFmtId="0" fontId="4" fillId="0" borderId="0" pivotButton="0" quotePrefix="0" xfId="0"/>
    <xf numFmtId="0" fontId="4" fillId="0" borderId="0" applyAlignment="1" pivotButton="0" quotePrefix="0" xfId="0">
      <alignment horizontal="center"/>
    </xf>
    <xf numFmtId="0" fontId="7"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showGridLines="0" workbookViewId="0">
      <selection activeCell="A1" sqref="A1"/>
    </sheetView>
  </sheetViews>
  <sheetFormatPr baseColWidth="8" defaultRowHeight="15"/>
  <cols>
    <col width="126" customWidth="1" min="1" max="1"/>
  </cols>
  <sheetData>
    <row r="1">
      <c r="A1" s="1" t="inlineStr">
        <is>
          <t>Essential Eight — Maturity Level 2 self-assessment</t>
        </is>
      </c>
    </row>
    <row r="2">
      <c r="A2" s="2" t="inlineStr">
        <is>
          <t>MineDigital360 · MD360-CMP-001 rev 1.0 · 14 Sept 2026 (AEST) · DRAFT</t>
        </is>
      </c>
    </row>
    <row r="3">
      <c r="A3" s="3" t="inlineStr"/>
    </row>
    <row r="4">
      <c r="A4" s="4" t="inlineStr">
        <is>
          <t>WHY THIS ASSESSMENT REPORTS A PARTIAL SCORE, DELIBERATELY</t>
        </is>
      </c>
    </row>
    <row r="5">
      <c r="A5" s="5" t="inlineStr">
        <is>
          <t>The Enhanced CIRMP Rules name Essential Eight at Maturity Level 2, so it is assessed. It is NOT the nominated</t>
        </is>
      </c>
    </row>
    <row r="6">
      <c r="A6" s="5" t="inlineStr">
        <is>
          <t>framework — AESCSF 2023 Core at SP-2 is (ADR-009) — and the reason is visible in column F of the scorecard.</t>
        </is>
      </c>
    </row>
    <row r="7">
      <c r="A7" s="5" t="inlineStr"/>
    </row>
    <row r="8">
      <c r="A8" s="5" t="inlineStr">
        <is>
          <t>The Essential Eight was built for internet-connected Windows networks. Read its eight mitigations against a</t>
        </is>
      </c>
    </row>
    <row r="9">
      <c r="A9" s="5" t="inlineStr">
        <is>
          <t>Purdue Level 1 control network and three transfer cleanly, two transfer partially, and three barely transfer at all.</t>
        </is>
      </c>
    </row>
    <row r="10">
      <c r="A10" s="5" t="inlineStr">
        <is>
          <t>Microsoft Office macro settings describe an attack surface that does not exist on a PLC.</t>
        </is>
      </c>
    </row>
    <row r="11">
      <c r="A11" s="5" t="inlineStr"/>
    </row>
    <row r="12">
      <c r="A12" s="4" t="inlineStr">
        <is>
          <t>Forcing a clean score over an OT estate produces a number that is wrong in a way nobody can see.</t>
        </is>
      </c>
    </row>
    <row r="13">
      <c r="A13" s="4" t="inlineStr">
        <is>
          <t>Declaring the partial mapping produces a number that is smaller and true. The second survives an auditor.</t>
        </is>
      </c>
    </row>
    <row r="14">
      <c r="A14" s="3" t="inlineStr"/>
    </row>
    <row r="15">
      <c r="A15" s="4" t="inlineStr">
        <is>
          <t>HOW THE SCORECARD WORKS</t>
        </is>
      </c>
    </row>
    <row r="16">
      <c r="A16" s="5" t="inlineStr">
        <is>
          <t>Each mitigation is assessed TWICE, because the estate has two halves with different physics:</t>
        </is>
      </c>
    </row>
    <row r="17">
      <c r="A17" s="5" t="inlineStr">
        <is>
          <t xml:space="preserve">  • ENTERPRISE — the corporate and cloud estate. The Essential Eight applies as written.</t>
        </is>
      </c>
    </row>
    <row r="18">
      <c r="A18" s="5" t="inlineStr">
        <is>
          <t xml:space="preserve">  • OT — Purdue Levels 0 to 2. Applicability is assessed first, and a non-applicable mitigation is</t>
        </is>
      </c>
    </row>
    <row r="19">
      <c r="A19" s="5" t="inlineStr">
        <is>
          <t xml:space="preserve">    marked N/A WITH A JUSTIFICATION, never scored zero and never quietly scored full.</t>
        </is>
      </c>
    </row>
    <row r="20">
      <c r="A20" s="5" t="inlineStr"/>
    </row>
    <row r="21">
      <c r="A21" s="5" t="inlineStr">
        <is>
          <t>A mitigation marked N/A in OT still carries a COMPENSATING CONTROL in column H. "Not applicable" is a</t>
        </is>
      </c>
    </row>
    <row r="22">
      <c r="A22" s="5" t="inlineStr">
        <is>
          <t>statement about the control, not about the risk — the risk is still there and something else must hold it.</t>
        </is>
      </c>
    </row>
    <row r="23">
      <c r="A23" s="3" t="inlineStr"/>
    </row>
    <row r="24">
      <c r="A24" s="4" t="inlineStr">
        <is>
          <t>WHAT MATURITY LEVEL 2 MEANS</t>
        </is>
      </c>
    </row>
    <row r="25">
      <c r="A25" s="5" t="inlineStr">
        <is>
          <t>ML2 targets adversaries using commodity tradecraft with modest effort: credential attacks, common malware,</t>
        </is>
      </c>
    </row>
    <row r="26">
      <c r="A26" s="5" t="inlineStr">
        <is>
          <t>privilege escalation, data destruction. Not nation-state. It is the level the enhanced CIRMP rules name,</t>
        </is>
      </c>
    </row>
    <row r="27">
      <c r="A27" s="5" t="inlineStr">
        <is>
          <t>raised from ML1 in the baseline rules.</t>
        </is>
      </c>
    </row>
    <row r="28">
      <c r="A28" s="3" t="inlineStr"/>
    </row>
    <row r="29">
      <c r="A29" s="4" t="inlineStr">
        <is>
          <t>THE TRAP WORTH STATING</t>
        </is>
      </c>
    </row>
    <row r="30">
      <c r="A30" s="5" t="inlineStr">
        <is>
          <t>MATURITY LEVEL AND SECURITY LEVEL HAVE NO RELATIONSHIP TO EACH OTHER. ML describes how institutionalised a</t>
        </is>
      </c>
    </row>
    <row r="31">
      <c r="A31" s="5" t="inlineStr">
        <is>
          <t>process is. SL (IEC 62443) describes what attacker capability a system withstands. An organisation at ML3</t>
        </is>
      </c>
    </row>
    <row r="32">
      <c r="A32" s="5" t="inlineStr">
        <is>
          <t>can operate a zone at SL1. They are different questions about different objects.</t>
        </is>
      </c>
    </row>
    <row r="33">
      <c r="A33" s="3" t="inlineStr"/>
    </row>
    <row r="34">
      <c r="A34" s="2" t="inlineStr">
        <is>
          <t>Verification: the eight mitigation names were checked against current secondary sources on 14 Sept 2026.</t>
        </is>
      </c>
    </row>
    <row r="35">
      <c r="A35" s="2" t="inlineStr">
        <is>
          <t>ASD's own scoping statement — that the model targets internet-connected Windows networks — is from secondary</t>
        </is>
      </c>
    </row>
    <row r="36">
      <c r="A36" s="2" t="inlineStr">
        <is>
          <t>sources and must be confirmed against ASD wording before external use. It matters: it is the difference</t>
        </is>
      </c>
    </row>
    <row r="37">
      <c r="A37" s="2" t="inlineStr">
        <is>
          <t>between "we chose not to apply it" and "ASD says it does not apply".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showGridLines="0" workbookViewId="0">
      <selection activeCell="A1" sqref="A1"/>
    </sheetView>
  </sheetViews>
  <sheetFormatPr baseColWidth="8" defaultRowHeight="15"/>
  <cols>
    <col width="54" customWidth="1" min="1" max="1"/>
    <col width="17" customWidth="1" min="2" max="2"/>
    <col width="17" customWidth="1" min="3" max="3"/>
    <col width="17" customWidth="1" min="4" max="4"/>
  </cols>
  <sheetData>
    <row r="1">
      <c r="A1" s="6" t="inlineStr">
        <is>
          <t>Assessment summary</t>
        </is>
      </c>
    </row>
    <row r="2">
      <c r="A2" s="15" t="inlineStr">
        <is>
          <t>Live-linked to the Scorecard. Nothing here is typed.</t>
        </is>
      </c>
    </row>
    <row r="4">
      <c r="A4" s="16" t="inlineStr">
        <is>
          <t>THE RULE THAT DECIDES THE NUMBER</t>
        </is>
      </c>
    </row>
    <row r="5" ht="42" customHeight="1">
      <c r="A5" s="17" t="inlineStr">
        <is>
          <t>Essential Eight maturity is the LOWEST level achieved across all eight mitigations — not the average, not the mode. Seven mitigations at ML2 and one at ML1 is an ML1 organisation. Reporting an average is the most common way an Essential Eight score is overstated.</t>
        </is>
      </c>
    </row>
    <row r="7">
      <c r="A7" s="16" t="inlineStr">
        <is>
          <t>MATURITY ACHIEVED</t>
        </is>
      </c>
    </row>
    <row r="8">
      <c r="A8" s="18" t="inlineStr">
        <is>
          <t>Estate</t>
        </is>
      </c>
      <c r="B8" s="18" t="inlineStr">
        <is>
          <t>ML achieved</t>
        </is>
      </c>
      <c r="C8" s="18" t="inlineStr">
        <is>
          <t>Target</t>
        </is>
      </c>
      <c r="D8" s="18" t="inlineStr">
        <is>
          <t>Gap</t>
        </is>
      </c>
    </row>
    <row r="9">
      <c r="A9" s="19" t="inlineStr">
        <is>
          <t>Enterprise</t>
        </is>
      </c>
      <c r="B9" s="20">
        <f>MIN(Scorecard!D5:D12)</f>
        <v/>
      </c>
      <c r="C9" s="20" t="n">
        <v>2</v>
      </c>
      <c r="D9" s="20">
        <f>C9-B9</f>
        <v/>
      </c>
    </row>
    <row r="10">
      <c r="A10" s="19" t="inlineStr">
        <is>
          <t>OT (Purdue 0-2), applicable + unmet</t>
        </is>
      </c>
      <c r="B10" s="20">
        <f>MIN(Scorecard!G5:G12)</f>
        <v/>
      </c>
      <c r="C10" s="20" t="n">
        <v>2</v>
      </c>
      <c r="D10" s="20">
        <f>C10-B10</f>
        <v/>
      </c>
    </row>
    <row r="12">
      <c r="A12" s="16" t="inlineStr">
        <is>
          <t>APPLICABILITY IN OT</t>
        </is>
      </c>
    </row>
    <row r="13">
      <c r="A13" s="21" t="inlineStr">
        <is>
          <t>Applies as written</t>
        </is>
      </c>
      <c r="B13" s="22">
        <f>COUNTIF(Scorecard!F5:F12,"Yes")</f>
        <v/>
      </c>
    </row>
    <row r="14">
      <c r="A14" s="21" t="inlineStr">
        <is>
          <t>Applies partially</t>
        </is>
      </c>
      <c r="B14" s="22">
        <f>COUNTIF(Scorecard!F5:F12,"Partial")</f>
        <v/>
      </c>
    </row>
    <row r="15">
      <c r="A15" s="21" t="inlineStr">
        <is>
          <t>Applies, but ML2 is unreachable</t>
        </is>
      </c>
      <c r="B15" s="22">
        <f>COUNTIF(Scorecard!F5:F12,"No")</f>
        <v/>
      </c>
    </row>
    <row r="16">
      <c r="A16" s="21" t="inlineStr">
        <is>
          <t>Attack surface does not exist</t>
        </is>
      </c>
      <c r="B16" s="22">
        <f>COUNTIF(Scorecard!F5:F12,"N/A")</f>
        <v/>
      </c>
    </row>
    <row r="19">
      <c r="A19" s="23" t="inlineStr">
        <is>
          <t>⚠ THE FINDING THIS ASSESSMENT EXISTS TO PRODUCE</t>
        </is>
      </c>
    </row>
    <row r="20">
      <c r="A20" s="21" t="inlineStr">
        <is>
          <t>The OT estate CANNOT reach Essential Eight Maturity Level 2, and no amount of effort or funding changes that.</t>
        </is>
      </c>
    </row>
    <row r="21">
      <c r="A21" s="15" t="inlineStr"/>
    </row>
    <row r="22">
      <c r="A22" s="21" t="inlineStr">
        <is>
          <t>ML2 requires operating systems and applications patched within one month, and within 48 hours where a working</t>
        </is>
      </c>
    </row>
    <row r="23">
      <c r="A23" s="21" t="inlineStr">
        <is>
          <t>exploit exists. OT patching waits for vendor validation, an outage window measured in months, and equipment</t>
        </is>
      </c>
    </row>
    <row r="24">
      <c r="A24" s="21" t="inlineStr">
        <is>
          <t>whose warranty is void if patched out of cycle. The two requirements are not in tension — they are incompatible.</t>
        </is>
      </c>
    </row>
    <row r="25">
      <c r="A25" s="15" t="inlineStr"/>
    </row>
    <row r="26">
      <c r="A26" s="21" t="inlineStr">
        <is>
          <t>That is not a failure of this estate. It is the framework being applied outside the environment it was built for,</t>
        </is>
      </c>
    </row>
    <row r="27">
      <c r="A27" s="21" t="inlineStr">
        <is>
          <t>and it is precisely why AESCSF 2023 Core at SP-2 is the nominated framework and Essential Eight is a declared</t>
        </is>
      </c>
    </row>
    <row r="28">
      <c r="A28" s="21" t="inlineStr">
        <is>
          <t>partial lens (ADR-009). An operator who reports a clean Essential Eight ML2 across an OT estate has either not</t>
        </is>
      </c>
    </row>
    <row r="29">
      <c r="A29" s="21" t="inlineStr">
        <is>
          <t>assessed the OT, or has scored a control that protects nothing.</t>
        </is>
      </c>
    </row>
    <row r="30">
      <c r="A30" s="15" t="inlineStr"/>
    </row>
    <row r="31">
      <c r="A31" s="21" t="inlineStr">
        <is>
          <t>WHAT TO DO WITH THAT. Report the enterprise score against Essential Eight, report the OT estate against AESCSF,</t>
        </is>
      </c>
    </row>
    <row r="32">
      <c r="A32" s="21" t="inlineStr">
        <is>
          <t>and carry the two unreachable mitigations as documented deviations with their compensating controls named —</t>
        </is>
      </c>
    </row>
    <row r="33">
      <c r="A33" s="21" t="inlineStr">
        <is>
          <t>virtual patching at the conduit, and isolation of the unsupported host in its own zone. A deviation that names</t>
        </is>
      </c>
    </row>
    <row r="34">
      <c r="A34" s="21" t="inlineStr">
        <is>
          <t>its compensating control is a position. One that does not is a gap with better paperwork.</t>
        </is>
      </c>
    </row>
    <row r="36">
      <c r="A36" s="16" t="inlineStr">
        <is>
          <t>ON THE ENTERPRISE SIDE</t>
        </is>
      </c>
    </row>
    <row r="37">
      <c r="A37" s="21" t="inlineStr">
        <is>
          <t>Six of eight sit at ML1. The three items holding the score down are the same three that always do:</t>
        </is>
      </c>
    </row>
    <row r="38">
      <c r="A38" s="21" t="inlineStr">
        <is>
          <t xml:space="preserve">  • application control not yet on general workstations</t>
        </is>
      </c>
    </row>
    <row r="39">
      <c r="A39" s="21" t="inlineStr">
        <is>
          <t xml:space="preserve">  • no separate privileged operating environment</t>
        </is>
      </c>
    </row>
    <row r="40">
      <c r="A40" s="21" t="inlineStr">
        <is>
          <t xml:space="preserve">  • restoration never tested end to end</t>
        </is>
      </c>
    </row>
    <row r="41">
      <c r="A41" s="21" t="inlineStr">
        <is>
          <t>The third is the one to fund first. It is also the one the worked hydro assessment found at the plant —</t>
        </is>
      </c>
    </row>
    <row r="42">
      <c r="A42" s="21" t="inlineStr">
        <is>
          <t>backups on the same domain as the host that would encrypt them, never restore-tested. The same defect,</t>
        </is>
      </c>
    </row>
    <row r="43">
      <c r="A43" s="21" t="inlineStr">
        <is>
          <t>in both halves of the estate, found by two different methods. That convergence is worth reporting.</t>
        </is>
      </c>
    </row>
  </sheetData>
  <mergeCells count="1">
    <mergeCell ref="A5:D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44" customWidth="1" min="3" max="3"/>
    <col width="11" customWidth="1" min="4" max="4"/>
    <col width="42" customWidth="1" min="5" max="5"/>
    <col width="10" customWidth="1" min="6" max="6"/>
    <col width="10" customWidth="1" min="7" max="7"/>
    <col width="46" customWidth="1" min="8" max="8"/>
    <col width="12" customWidth="1" min="9" max="9"/>
  </cols>
  <sheetData>
    <row r="1">
      <c r="A1" s="6" t="inlineStr">
        <is>
          <t>Essential Eight ML2 — scorecard</t>
        </is>
      </c>
    </row>
    <row r="2" ht="28" customHeight="1">
      <c r="A2" s="7" t="inlineStr">
        <is>
          <t>Assessed separately for the enterprise estate and for OT (Purdue 0-2). Yellow cells are inputs. A mitigation marked N/A in OT carries a compensating control — "not applicable" describes the control, not the risk.</t>
        </is>
      </c>
    </row>
    <row r="4" ht="32" customHeight="1">
      <c r="A4" s="8" t="inlineStr">
        <is>
          <t>#</t>
        </is>
      </c>
      <c r="B4" s="8" t="inlineStr">
        <is>
          <t>Mitigation</t>
        </is>
      </c>
      <c r="C4" s="8" t="inlineStr">
        <is>
          <t>ML2 requires (abridged)</t>
        </is>
      </c>
      <c r="D4" s="8" t="inlineStr">
        <is>
          <t>Enterprise
ML achieved</t>
        </is>
      </c>
      <c r="E4" s="8" t="inlineStr">
        <is>
          <t>Enterprise evidence / gap</t>
        </is>
      </c>
      <c r="F4" s="8" t="inlineStr">
        <is>
          <t>Applies
in OT?</t>
        </is>
      </c>
      <c r="G4" s="8" t="inlineStr">
        <is>
          <t>OT
ML achieved</t>
        </is>
      </c>
      <c r="H4" s="8" t="inlineStr">
        <is>
          <t>Compensating control in OT</t>
        </is>
      </c>
      <c r="I4" s="8" t="inlineStr">
        <is>
          <t>Owner</t>
        </is>
      </c>
    </row>
    <row r="5" ht="76" customHeight="1">
      <c r="A5" s="9" t="n">
        <v>1</v>
      </c>
      <c r="B5" s="10" t="inlineStr">
        <is>
          <t>Application control</t>
        </is>
      </c>
      <c r="C5" s="11" t="inlineStr">
        <is>
          <t>Execution restricted to an approved set on workstations and internet-facing servers; rulesets validated annually.</t>
        </is>
      </c>
      <c r="D5" s="12" t="n">
        <v>1</v>
      </c>
      <c r="E5" s="13" t="inlineStr">
        <is>
          <t>Deployed on the engineering workstation only. Not yet on general workstations — this is the ML1→ML2 gap.</t>
        </is>
      </c>
      <c r="F5" s="12" t="inlineStr">
        <is>
          <t>Partial</t>
        </is>
      </c>
      <c r="G5" s="12" t="n">
        <v>1</v>
      </c>
      <c r="H5" s="13" t="inlineStr">
        <is>
          <t>Engineering workstation is in scope and is the asset that matters (it can reprogram Z-01 and Z-02). Controllers below it execute only signed project logic, which is a different mechanism reaching the same outcome.</t>
        </is>
      </c>
      <c r="I5" s="13" t="inlineStr"/>
    </row>
    <row r="6" ht="76" customHeight="1">
      <c r="A6" s="9" t="n">
        <v>2</v>
      </c>
      <c r="B6" s="10" t="inlineStr">
        <is>
          <t>Patch applications</t>
        </is>
      </c>
      <c r="C6" s="11" t="inlineStr">
        <is>
          <t>Internet-facing: patched within 2 weeks, or 48 hours where an exploit exists. Other: 1 month. Unsupported software removed.</t>
        </is>
      </c>
      <c r="D6" s="12" t="n">
        <v>1</v>
      </c>
      <c r="E6" s="13" t="inlineStr">
        <is>
          <t>Cloud-side patching is automated. Vendor engineering tooling lags by design.</t>
        </is>
      </c>
      <c r="F6" s="12" t="inlineStr">
        <is>
          <t>No</t>
        </is>
      </c>
      <c r="G6" s="12" t="n">
        <v>0</v>
      </c>
      <c r="H6" s="13" t="inlineStr">
        <is>
          <t>OT patch cadence is set by vendor validation and outage windows measured in months, and equipment warranty is void if patched out of cycle. Compensating: virtual patching at the conduit, and the vulnerability is tracked against the zone rather than the host.</t>
        </is>
      </c>
      <c r="I6" s="13" t="inlineStr"/>
    </row>
    <row r="7" ht="76" customHeight="1">
      <c r="A7" s="9" t="n">
        <v>3</v>
      </c>
      <c r="B7" s="10" t="inlineStr">
        <is>
          <t>Configure Microsoft Office macro settings</t>
        </is>
      </c>
      <c r="C7" s="11" t="inlineStr">
        <is>
          <t>Macros disabled for users without a business requirement; macros from the internet blocked; antivirus scanning of macros.</t>
        </is>
      </c>
      <c r="D7" s="12" t="n">
        <v>2</v>
      </c>
      <c r="E7" s="13" t="inlineStr">
        <is>
          <t>No Office macro requirement exists anywhere in the estate. Blocked by policy.</t>
        </is>
      </c>
      <c r="F7" s="14" t="inlineStr">
        <is>
          <t>N/A</t>
        </is>
      </c>
      <c r="G7" s="14" t="n"/>
      <c r="H7" s="13" t="inlineStr">
        <is>
          <t>THE ATTACK SURFACE DOES NOT EXIST. There is no Office suite below Level 3. Scoring this mitigation over OT would inflate the result with a control protecting nothing.</t>
        </is>
      </c>
      <c r="I7" s="13" t="inlineStr"/>
    </row>
    <row r="8" ht="76" customHeight="1">
      <c r="A8" s="9" t="n">
        <v>4</v>
      </c>
      <c r="B8" s="10" t="inlineStr">
        <is>
          <t>User application hardening</t>
        </is>
      </c>
      <c r="C8" s="11" t="inlineStr">
        <is>
          <t>Web browsers do not process Java or web advertisements; Internet Explorer 11 disabled; hardening per ASD guidance.</t>
        </is>
      </c>
      <c r="D8" s="12" t="n">
        <v>1</v>
      </c>
      <c r="E8" s="13" t="inlineStr">
        <is>
          <t>Browser hardening applied to the corporate estate. ML2 requires blocking PowerShell script execution logging gaps — outstanding.</t>
        </is>
      </c>
      <c r="F8" s="12" t="inlineStr">
        <is>
          <t>Partial</t>
        </is>
      </c>
      <c r="G8" s="12" t="n">
        <v>1</v>
      </c>
      <c r="H8" s="13" t="inlineStr">
        <is>
          <t>Applies to the engineering workstation and the HMI hosts. Below Level 2 there is no user application to harden. Compensating: HMI hosts run a fixed application set with no general browsing.</t>
        </is>
      </c>
      <c r="I8" s="13" t="inlineStr"/>
    </row>
    <row r="9" ht="76" customHeight="1">
      <c r="A9" s="9" t="n">
        <v>5</v>
      </c>
      <c r="B9" s="10" t="inlineStr">
        <is>
          <t>Restrict administrative privileges</t>
        </is>
      </c>
      <c r="C9" s="11" t="inlineStr">
        <is>
          <t>Privileged access validated on first request and annually; privileged accounts cannot access the internet, email or web services; separate privileged and unprivileged operating environments.</t>
        </is>
      </c>
      <c r="D9" s="12" t="n">
        <v>1</v>
      </c>
      <c r="E9" s="13" t="inlineStr">
        <is>
          <t>Entra privileged roles are eligible-not-standing (ADR-008). Separate privileged environment not yet built — the ML2 gap.</t>
        </is>
      </c>
      <c r="F9" s="12" t="inlineStr">
        <is>
          <t>Yes</t>
        </is>
      </c>
      <c r="G9" s="12" t="n">
        <v>1</v>
      </c>
      <c r="H9" s="13" t="inlineStr">
        <is>
          <t>Fully applicable and the highest-value of the eight in OT. Vendor accounts are the worked assessment's second-worst finding. Compensating while ML2 is unmet: brokered session access, just-in-time approval, full session recording.</t>
        </is>
      </c>
      <c r="I9" s="13" t="inlineStr"/>
    </row>
    <row r="10" ht="76" customHeight="1">
      <c r="A10" s="9" t="n">
        <v>6</v>
      </c>
      <c r="B10" s="10" t="inlineStr">
        <is>
          <t>Patch operating systems</t>
        </is>
      </c>
      <c r="C10" s="11" t="inlineStr">
        <is>
          <t>Internet-facing: 2 weeks, or 48 hours with a known exploit. Other: 1 month. Unsupported operating systems replaced.</t>
        </is>
      </c>
      <c r="D10" s="12" t="n">
        <v>1</v>
      </c>
      <c r="E10" s="13" t="inlineStr">
        <is>
          <t>Cloud and corporate estate current. "Unsupported operating systems replaced" is the ML2 item that fails.</t>
        </is>
      </c>
      <c r="F10" s="12" t="inlineStr">
        <is>
          <t>No</t>
        </is>
      </c>
      <c r="G10" s="12" t="n">
        <v>0</v>
      </c>
      <c r="H10" s="13" t="inlineStr">
        <is>
          <t>Same constraint as patch applications, and worse: replacing an unsupported OS in OT means replacing the equipment it drives. Compensating: the unsupported host is isolated in its own zone with a conduit that validates commands at the receiving end.</t>
        </is>
      </c>
      <c r="I10" s="13" t="inlineStr"/>
    </row>
    <row r="11" ht="76" customHeight="1">
      <c r="A11" s="9" t="n">
        <v>7</v>
      </c>
      <c r="B11" s="10" t="inlineStr">
        <is>
          <t>Multi-factor authentication</t>
        </is>
      </c>
      <c r="C11" s="11" t="inlineStr">
        <is>
          <t>MFA for users of internet-facing services and third-party services handling sensitive data; phishing-resistant; successful AND unsuccessful events logged centrally.</t>
        </is>
      </c>
      <c r="D11" s="12" t="n">
        <v>2</v>
      </c>
      <c r="E11" s="13" t="inlineStr">
        <is>
          <t>Phishing-resistant MFA enforced; no SMS or email fallback path exists. Both success and failure logged centrally.</t>
        </is>
      </c>
      <c r="F11" s="12" t="inlineStr">
        <is>
          <t>Yes</t>
        </is>
      </c>
      <c r="G11" s="12" t="n">
        <v>1</v>
      </c>
      <c r="H11" s="13" t="inlineStr">
        <is>
          <t>Applicable at every management interface. ML2 is met for remote access; local relay and controller interfaces do not support MFA at all, which is a component capability gap (62443 SL-C), not a process failure. Compensating: physical presence required for those interfaces.</t>
        </is>
      </c>
      <c r="I11" s="13" t="inlineStr"/>
    </row>
    <row r="12" ht="76" customHeight="1">
      <c r="A12" s="9" t="n">
        <v>8</v>
      </c>
      <c r="B12" s="10" t="inlineStr">
        <is>
          <t>Regular backups</t>
        </is>
      </c>
      <c r="C12" s="11" t="inlineStr">
        <is>
          <t>Backups of data, software and configuration performed and retained per business criticality; restoration tested as part of disaster recovery exercises; unprivileged accounts cannot access or modify backups.</t>
        </is>
      </c>
      <c r="D12" s="12" t="n">
        <v>1</v>
      </c>
      <c r="E12" s="13" t="inlineStr">
        <is>
          <t>Backups run. Restoration has not been tested end to end — which per ML2 means this is not met, and the honest score is 1.</t>
        </is>
      </c>
      <c r="F12" s="12" t="inlineStr">
        <is>
          <t>Yes</t>
        </is>
      </c>
      <c r="G12" s="12" t="n">
        <v>1</v>
      </c>
      <c r="H12" s="13" t="inlineStr">
        <is>
          <t>Fully applicable, and the single worst finding in the worked hydro assessment: backups on the same domain as the host that would encrypt them, reachable from the engineering workstation, never restore-tested. AN UNTESTED BACKUP IS NOT A BACKUP.</t>
        </is>
      </c>
      <c r="I12" s="13" t="inlineStr"/>
    </row>
  </sheetData>
  <mergeCells count="1">
    <mergeCell ref="A2:I2"/>
  </mergeCells>
  <dataValidations count="2">
    <dataValidation sqref="F5:F12" showDropDown="0" showInputMessage="0" showErrorMessage="0" allowBlank="1" type="list">
      <formula1>"Yes,Partial,No,N/A"</formula1>
    </dataValidation>
    <dataValidation sqref="D5:D12 G5:G12" showDropDown="0" showInputMessage="0" showErrorMessage="0" allowBlank="1" type="list">
      <formula1>"0,1,2,3"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2026-09-14T17:45:10Z</dcterms:created>
  <dcterms:modified xmlns:dcterms="http://purl.org/dc/terms/" xmlns:xsi="http://www.w3.org/2001/XMLSchema-instance" xsi:type="dcterms:W3CDTF">2026-09-14T17:45:51Z</dcterms:modified>
</cp:coreProperties>
</file>